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çalho" sheetId="1" state="visible" r:id="rId1"/>
    <sheet name="Lista PMV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Secretaria Executiva - CMED</t>
        </is>
      </c>
    </row>
    <row r="2">
      <c r="A2" t="inlineStr">
        <is>
          <t>LISTA DE PREÇOS DE MEDICAMENTOS - PREÇOS FÁBRICA E MÁXIMO DE VENDA AO GOVERNO</t>
        </is>
      </c>
    </row>
    <row r="3">
      <c r="A3" t="inlineStr">
        <is>
          <t>Gerada em 23/09/2026 19h30min.</t>
        </is>
      </c>
    </row>
    <row r="4">
      <c r="A4" t="inlineStr">
        <is>
          <t>Preços válidos a partir de 24 de setembro de 2026</t>
        </is>
      </c>
    </row>
    <row r="5">
      <c r="A5" t="inlineStr">
        <is>
          <t>Esta lista apresenta os preços dos medicamentos REGULADOS, nos termos da Resolução CMED nº 02, de 05 de março de 2004, e os preços dos medicamentos LIBERADOS, nos termos da Resolução CMED nº 02, de 20 de março de 2019. Em referência aos medicamentos liberados, é importante ressaltar que apenas o Preço Fábrica encontra-se liberado, devendo o Preço Máximo ao Consumidor atender às margens previstas no art. 4º da Resolução nº 01, de 26 de março de 2019.</t>
        </is>
      </c>
    </row>
    <row r="6">
      <c r="A6" t="inlineStr">
        <is>
          <t xml:space="preserve">O Preço Fábrica (PF) é o preço a ser praticado pelas empresas fabricantes, importadoras ou distribuidoras. O PF é o preço máximo permitido para venda às farmácias, drogarias e para entes </t>
        </is>
      </c>
    </row>
    <row r="7">
      <c r="A7" t="inlineStr">
        <is>
          <t>O Preço Máximo de Venda ao Governo (PMVG) corresponde ao preço máximo a ser observado exclusivamente em vendas a administração pública. Para os medicamentos relacionados no Anexo I da Resolução CTE-CMED nº 1/2026, o valor indicado na coluna BW resulta da aplicação do Coeficiente de Adequação de Preços (CAP) ao Preço Fábrica (PF). Para os medicamentos não relacionados nesse anexo, o limite nas vendas à administração pública corresponde ao PF aplicável à respectiva alíquota estadual.</t>
        </is>
      </c>
    </row>
    <row r="8">
      <c r="A8" t="inlineStr">
        <is>
          <t>Nesta lista foi incluída a alíquota de ICMS 0%, para os casos de medicamentos com princípios ativos isentos de ICMS, de acordo com convênios do Conselho Nacional de Política Fazendária (CONFAZ) ou legislações estaduais.</t>
        </is>
      </c>
    </row>
    <row r="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1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SUBSTÂNCIA</t>
        </is>
      </c>
      <c r="B2" t="inlineStr">
        <is>
          <t>CNPJ</t>
        </is>
      </c>
      <c r="C2" t="inlineStr">
        <is>
          <t>LABORATÓRIO</t>
        </is>
      </c>
      <c r="D2" t="inlineStr">
        <is>
          <t>CÓDIGO GGREM</t>
        </is>
      </c>
      <c r="E2" t="inlineStr">
        <is>
          <t>REGISTRO</t>
        </is>
      </c>
      <c r="F2" t="inlineStr">
        <is>
          <t>EAN 1</t>
        </is>
      </c>
      <c r="G2" t="inlineStr">
        <is>
          <t>EAN 2</t>
        </is>
      </c>
      <c r="H2" t="inlineStr">
        <is>
          <t>EAN 3</t>
        </is>
      </c>
      <c r="I2" t="inlineStr">
        <is>
          <t>PRODUTO</t>
        </is>
      </c>
      <c r="J2" t="inlineStr">
        <is>
          <t>APRESENTAÇÃO</t>
        </is>
      </c>
      <c r="K2" t="inlineStr">
        <is>
          <t>CLASSE TERAPÊUTICA</t>
        </is>
      </c>
      <c r="L2" t="inlineStr">
        <is>
          <t>TIPO DE PRODUTO (STATUS DO PRODUTO)</t>
        </is>
      </c>
      <c r="M2" t="inlineStr">
        <is>
          <t>REGIME DE PREÇO</t>
        </is>
      </c>
      <c r="N2" t="inlineStr">
        <is>
          <t>PF Sem Impostos</t>
        </is>
      </c>
      <c r="O2" t="inlineStr">
        <is>
          <t>PF 0%</t>
        </is>
      </c>
      <c r="P2" t="inlineStr">
        <is>
          <t>PF 12 %</t>
        </is>
      </c>
      <c r="Q2" t="inlineStr">
        <is>
          <t>PF 12 %  ALC</t>
        </is>
      </c>
      <c r="R2" t="inlineStr">
        <is>
          <t>PF 17 %</t>
        </is>
      </c>
      <c r="S2" t="inlineStr">
        <is>
          <t>PF 17 %  ALC</t>
        </is>
      </c>
      <c r="T2" t="inlineStr">
        <is>
          <t>PF 17,5 %</t>
        </is>
      </c>
      <c r="U2" t="inlineStr">
        <is>
          <t>PF 17,5 %  ALC</t>
        </is>
      </c>
      <c r="V2" t="inlineStr">
        <is>
          <t>PF 18 %</t>
        </is>
      </c>
      <c r="W2" t="inlineStr">
        <is>
          <t>PF 18 %  ALC</t>
        </is>
      </c>
      <c r="X2" t="inlineStr">
        <is>
          <t>PF 19 %</t>
        </is>
      </c>
      <c r="Y2" t="inlineStr">
        <is>
          <t>PF 19 %  ALC</t>
        </is>
      </c>
      <c r="Z2" t="inlineStr">
        <is>
          <t>PF 19,5 %</t>
        </is>
      </c>
      <c r="AA2" t="inlineStr">
        <is>
          <t>PF 19,5 %  ALC</t>
        </is>
      </c>
      <c r="AB2" t="inlineStr">
        <is>
          <t>PF 20 %</t>
        </is>
      </c>
      <c r="AC2" t="inlineStr">
        <is>
          <t>PF 20 %  ALC</t>
        </is>
      </c>
      <c r="AD2" t="inlineStr">
        <is>
          <t>PF 20,5 %</t>
        </is>
      </c>
      <c r="AE2" t="inlineStr">
        <is>
          <t>PF 20,5 %  ALC</t>
        </is>
      </c>
      <c r="AF2" t="inlineStr">
        <is>
          <t>PF 21 %</t>
        </is>
      </c>
      <c r="AG2" t="inlineStr">
        <is>
          <t>PF 21 %  ALC</t>
        </is>
      </c>
      <c r="AH2" t="inlineStr">
        <is>
          <t>PF 22 %</t>
        </is>
      </c>
      <c r="AI2" t="inlineStr">
        <is>
          <t>PF 22 %  ALC</t>
        </is>
      </c>
      <c r="AJ2" t="inlineStr">
        <is>
          <t>PF 22,5 %</t>
        </is>
      </c>
      <c r="AK2" t="inlineStr">
        <is>
          <t>PF 22,5 %  ALC</t>
        </is>
      </c>
      <c r="AL2" t="inlineStr">
        <is>
          <t>PF 23 %</t>
        </is>
      </c>
      <c r="AM2" t="inlineStr">
        <is>
          <t>PF 23 %  ALC</t>
        </is>
      </c>
      <c r="AN2" t="inlineStr">
        <is>
          <t>PMVG Sem Impostos</t>
        </is>
      </c>
      <c r="AO2" t="inlineStr">
        <is>
          <t>PMVG 0%</t>
        </is>
      </c>
      <c r="AP2" t="inlineStr">
        <is>
          <t>PMVG 12 %</t>
        </is>
      </c>
      <c r="AQ2" t="inlineStr">
        <is>
          <t>PMVG 12 %  ALC</t>
        </is>
      </c>
      <c r="AR2" t="inlineStr">
        <is>
          <t>PMVG 17 %</t>
        </is>
      </c>
      <c r="AS2" t="inlineStr">
        <is>
          <t>PMVG 17 %  ALC</t>
        </is>
      </c>
      <c r="AT2" t="inlineStr">
        <is>
          <t>PMVG 17,5 %</t>
        </is>
      </c>
      <c r="AU2" t="inlineStr">
        <is>
          <t>PMVG 17,5 %  ALC</t>
        </is>
      </c>
      <c r="AV2" t="inlineStr">
        <is>
          <t>PMVG 18 %</t>
        </is>
      </c>
      <c r="AW2" t="inlineStr">
        <is>
          <t>PMVG 18 %  ALC</t>
        </is>
      </c>
      <c r="AX2" t="inlineStr">
        <is>
          <t>PMVG 19 %</t>
        </is>
      </c>
      <c r="AY2" t="inlineStr">
        <is>
          <t>PMVG 19 %  ALC</t>
        </is>
      </c>
      <c r="AZ2" t="inlineStr">
        <is>
          <t>PMVG 19,5 %</t>
        </is>
      </c>
      <c r="BA2" t="inlineStr">
        <is>
          <t>PMVG 19,5 %  ALC</t>
        </is>
      </c>
      <c r="BB2" t="inlineStr">
        <is>
          <t>PMVG 20 %</t>
        </is>
      </c>
      <c r="BC2" t="inlineStr">
        <is>
          <t>PMVG 20 %  ALC</t>
        </is>
      </c>
      <c r="BD2" t="inlineStr">
        <is>
          <t>PMVG 20,5 %</t>
        </is>
      </c>
      <c r="BE2" t="inlineStr">
        <is>
          <t>PMVG 20,5 %  ALC</t>
        </is>
      </c>
      <c r="BF2" t="inlineStr">
        <is>
          <t>PMVG 21 %</t>
        </is>
      </c>
      <c r="BG2" t="inlineStr">
        <is>
          <t>PMVG 21 %  ALC</t>
        </is>
      </c>
      <c r="BH2" t="inlineStr">
        <is>
          <t>PMVG 22 %</t>
        </is>
      </c>
      <c r="BI2" t="inlineStr">
        <is>
          <t>PMVG 22 %  ALC</t>
        </is>
      </c>
      <c r="BJ2" t="inlineStr">
        <is>
          <t>PMVG 22,5 %</t>
        </is>
      </c>
      <c r="BK2" t="inlineStr">
        <is>
          <t>PMVG 22,5 %  ALC</t>
        </is>
      </c>
      <c r="BL2" t="inlineStr">
        <is>
          <t>PMVG 23 %</t>
        </is>
      </c>
      <c r="BM2" t="inlineStr">
        <is>
          <t>PMVG 23 %  ALC</t>
        </is>
      </c>
      <c r="BN2" t="inlineStr">
        <is>
          <t>RESTRIÇÃO HOSPITALAR</t>
        </is>
      </c>
      <c r="BO2" t="inlineStr">
        <is>
          <t>CONFAZ 87</t>
        </is>
      </c>
      <c r="BP2" t="inlineStr">
        <is>
          <t>ICMS 0%</t>
        </is>
      </c>
      <c r="BQ2" t="inlineStr">
        <is>
          <t>ANÁLISE RECURSAL</t>
        </is>
      </c>
      <c r="BR2" t="inlineStr">
        <is>
          <t>LISTA DE CONCESSÃO DE CRÉDITO TRIBUTÁRIO (PIS/COFINS)</t>
        </is>
      </c>
      <c r="BS2" t="inlineStr">
        <is>
          <t>COMERCIALIZAÇÃO 2025</t>
        </is>
      </c>
      <c r="BT2" t="inlineStr">
        <is>
          <t>TARJA</t>
        </is>
      </c>
      <c r="BU2" t="inlineStr">
        <is>
          <t>CAP Antigo</t>
        </is>
      </c>
      <c r="BV2" t="inlineStr">
        <is>
          <t>CAP antigo</t>
        </is>
      </c>
      <c r="BW2" t="inlineStr">
        <is>
          <t>CAP Novo</t>
        </is>
      </c>
      <c r="BX2" t="inlineStr">
        <is>
          <t>Item no Anexo da Resolução CTE-CMED n° 1/2026</t>
        </is>
      </c>
      <c r="BY2" t="inlineStr">
        <is>
          <t>Critério da correspondência</t>
        </is>
      </c>
    </row>
    <row r="3">
      <c r="A3" t="inlineStr">
        <is>
          <t>21-ACETATO DE DEXAMETASONA;CLOTRIMAZOL</t>
        </is>
      </c>
      <c r="B3" t="inlineStr">
        <is>
          <t>18.459.628/0001-15</t>
        </is>
      </c>
      <c r="C3" t="inlineStr">
        <is>
          <t>BAYER S.A.</t>
        </is>
      </c>
      <c r="D3" t="inlineStr">
        <is>
          <t>538912020009303</t>
        </is>
      </c>
      <c r="E3" t="inlineStr">
        <is>
          <t>1705600230032</t>
        </is>
      </c>
      <c r="F3" t="inlineStr">
        <is>
          <t>7891106000956</t>
        </is>
      </c>
      <c r="G3" t="inlineStr">
        <is>
          <t xml:space="preserve">    -     </t>
        </is>
      </c>
      <c r="H3" t="inlineStr">
        <is>
          <t xml:space="preserve">    -     </t>
        </is>
      </c>
      <c r="I3" t="inlineStr">
        <is>
          <t>BAYCUTEN N</t>
        </is>
      </c>
      <c r="J3" t="inlineStr">
        <is>
          <t>10 MG/G + 0,443 MG/G CREM DERM CT BG AL X 40 G</t>
        </is>
      </c>
      <c r="K3" t="inlineStr">
        <is>
          <t>D7B2 - CORTICOESTERÓIDES ASSOCIADOS A ANTIMICOTICOS</t>
        </is>
      </c>
      <c r="L3" t="inlineStr">
        <is>
          <t>Novo</t>
        </is>
      </c>
      <c r="M3" t="inlineStr">
        <is>
          <t>Regulado</t>
        </is>
      </c>
      <c r="N3" t="inlineStr">
        <is>
          <t>27,44</t>
        </is>
      </c>
      <c r="O3" t="inlineStr">
        <is>
          <t>30,73</t>
        </is>
      </c>
      <c r="P3" t="inlineStr">
        <is>
          <t>34,92</t>
        </is>
      </c>
      <c r="Q3" t="inlineStr">
        <is>
          <t>31,18</t>
        </is>
      </c>
      <c r="R3" t="inlineStr">
        <is>
          <t>37,02</t>
        </is>
      </c>
      <c r="S3" t="inlineStr">
        <is>
          <t>33,06</t>
        </is>
      </c>
      <c r="T3" t="inlineStr">
        <is>
          <t>37,25</t>
        </is>
      </c>
      <c r="U3" t="inlineStr">
        <is>
          <t>33,26</t>
        </is>
      </c>
      <c r="V3" t="inlineStr">
        <is>
          <t>37,48</t>
        </is>
      </c>
      <c r="W3" t="inlineStr">
        <is>
          <t>33,46</t>
        </is>
      </c>
      <c r="X3" t="inlineStr">
        <is>
          <t>37,94</t>
        </is>
      </c>
      <c r="Y3" t="inlineStr">
        <is>
          <t>33,87</t>
        </is>
      </c>
      <c r="Z3" t="inlineStr">
        <is>
          <t>38,17</t>
        </is>
      </c>
      <c r="AA3" t="inlineStr">
        <is>
          <t>34,08</t>
        </is>
      </c>
      <c r="AB3" t="inlineStr">
        <is>
          <t>38,41</t>
        </is>
      </c>
      <c r="AC3" t="inlineStr">
        <is>
          <t>34,30</t>
        </is>
      </c>
      <c r="AD3" t="inlineStr">
        <is>
          <t>38,65</t>
        </is>
      </c>
      <c r="AE3" t="inlineStr">
        <is>
          <t>34,51</t>
        </is>
      </c>
      <c r="AF3" t="inlineStr">
        <is>
          <t>38,90</t>
        </is>
      </c>
      <c r="AG3" t="inlineStr">
        <is>
          <t>34,73</t>
        </is>
      </c>
      <c r="AH3" t="inlineStr">
        <is>
          <t>39,40</t>
        </is>
      </c>
      <c r="AI3" t="inlineStr">
        <is>
          <t>35,18</t>
        </is>
      </c>
      <c r="AJ3" t="inlineStr">
        <is>
          <t>39,65</t>
        </is>
      </c>
      <c r="AK3" t="inlineStr">
        <is>
          <t>35,40</t>
        </is>
      </c>
      <c r="AL3" t="inlineStr">
        <is>
          <t>39,91</t>
        </is>
      </c>
      <c r="AM3" t="inlineStr">
        <is>
          <t>35,63</t>
        </is>
      </c>
      <c r="AN3">
        <f>ROUND(N3*(1-0.1979),2)</f>
        <v/>
      </c>
      <c r="AO3">
        <f>ROUND(O3*(1-0.1979),2)</f>
        <v/>
      </c>
      <c r="AP3">
        <f>ROUND(P3*(1-0.1979),2)</f>
        <v/>
      </c>
      <c r="AQ3">
        <f>ROUND(Q3*(1-0.1979),2)</f>
        <v/>
      </c>
      <c r="AR3">
        <f>ROUND(R3*(1-0.1979),2)</f>
        <v/>
      </c>
      <c r="AS3">
        <f>ROUND(S3*(1-0.1979),2)</f>
        <v/>
      </c>
      <c r="AT3">
        <f>ROUND(T3*(1-0.1979),2)</f>
        <v/>
      </c>
      <c r="AU3">
        <f>ROUND(U3*(1-0.1979),2)</f>
        <v/>
      </c>
      <c r="AV3">
        <f>ROUND(V3*(1-0.1979),2)</f>
        <v/>
      </c>
      <c r="AW3">
        <f>ROUND(W3*(1-0.1979),2)</f>
        <v/>
      </c>
      <c r="AX3">
        <f>ROUND(X3*(1-0.1979),2)</f>
        <v/>
      </c>
      <c r="AY3">
        <f>ROUND(Y3*(1-0.1979),2)</f>
        <v/>
      </c>
      <c r="AZ3">
        <f>ROUND(Z3*(1-0.1979),2)</f>
        <v/>
      </c>
      <c r="BA3">
        <f>ROUND(AA3*(1-0.1979),2)</f>
        <v/>
      </c>
      <c r="BB3">
        <f>ROUND(AB3*(1-0.1979),2)</f>
        <v/>
      </c>
      <c r="BC3">
        <f>ROUND(AC3*(1-0.1979),2)</f>
        <v/>
      </c>
      <c r="BD3">
        <f>ROUND(AD3*(1-0.1979),2)</f>
        <v/>
      </c>
      <c r="BE3">
        <f>ROUND(AE3*(1-0.1979),2)</f>
        <v/>
      </c>
      <c r="BF3">
        <f>ROUND(AF3*(1-0.1979),2)</f>
        <v/>
      </c>
      <c r="BG3">
        <f>ROUND(AG3*(1-0.1979),2)</f>
        <v/>
      </c>
      <c r="BH3">
        <f>ROUND(AH3*(1-0.1979),2)</f>
        <v/>
      </c>
      <c r="BI3">
        <f>ROUND(AI3*(1-0.1979),2)</f>
        <v/>
      </c>
      <c r="BJ3">
        <f>ROUND(AJ3*(1-0.1979),2)</f>
        <v/>
      </c>
      <c r="BK3">
        <f>ROUND(AK3*(1-0.1979),2)</f>
        <v/>
      </c>
      <c r="BL3">
        <f>ROUND(AL3*(1-0.1979),2)</f>
        <v/>
      </c>
      <c r="BM3">
        <f>ROUND(AM3*(1-0.1979),2)</f>
        <v/>
      </c>
      <c r="BN3" t="inlineStr">
        <is>
          <t>Não</t>
        </is>
      </c>
      <c r="BO3" t="inlineStr">
        <is>
          <t>Não</t>
        </is>
      </c>
      <c r="BP3" t="inlineStr">
        <is>
          <t>Não</t>
        </is>
      </c>
      <c r="BR3" t="inlineStr">
        <is>
          <t>Negativa</t>
        </is>
      </c>
      <c r="BS3" t="inlineStr">
        <is>
          <t>Sim</t>
        </is>
      </c>
      <c r="BT3" t="inlineStr">
        <is>
          <t xml:space="preserve">- (*) </t>
        </is>
      </c>
      <c r="BU3" t="inlineStr">
        <is>
          <t>Não</t>
        </is>
      </c>
      <c r="BW3" t="inlineStr">
        <is>
          <t>Não</t>
        </is>
      </c>
    </row>
    <row r="4">
      <c r="A4" t="inlineStr">
        <is>
          <t>ABATACEPTE</t>
        </is>
      </c>
      <c r="B4" t="inlineStr">
        <is>
          <t>56.998.982/0001-07</t>
        </is>
      </c>
      <c r="C4" t="inlineStr">
        <is>
          <t>BRISTOL-MYERS SQUIBB FARMACÊUTICA LTDA</t>
        </is>
      </c>
      <c r="D4" t="inlineStr">
        <is>
          <t>505107701157215</t>
        </is>
      </c>
      <c r="E4" t="inlineStr">
        <is>
          <t>1018003900019</t>
        </is>
      </c>
      <c r="F4" t="inlineStr">
        <is>
          <t>7896016806469</t>
        </is>
      </c>
      <c r="G4" t="inlineStr">
        <is>
          <t xml:space="preserve">    -     </t>
        </is>
      </c>
      <c r="H4" t="inlineStr">
        <is>
          <t xml:space="preserve">    -     </t>
        </is>
      </c>
      <c r="I4" t="inlineStr">
        <is>
          <t>ORENCIA</t>
        </is>
      </c>
      <c r="J4" t="inlineStr">
        <is>
          <t>250 MG PO LIOF SOL INJ CT 1 FA + SER DESCARTÁVEL</t>
        </is>
      </c>
      <c r="K4" t="inlineStr">
        <is>
          <t>M1C - AGENTES ANTI-REUMÁTICOS ESPECÍFICOS</t>
        </is>
      </c>
      <c r="L4" t="inlineStr">
        <is>
          <t>Biológico</t>
        </is>
      </c>
      <c r="M4" t="inlineStr">
        <is>
          <t>Regulado</t>
        </is>
      </c>
      <c r="N4" t="inlineStr">
        <is>
          <t>2098,20</t>
        </is>
      </c>
      <c r="O4" t="inlineStr">
        <is>
          <t>2123,68</t>
        </is>
      </c>
      <c r="P4" t="inlineStr">
        <is>
          <t>2413,27</t>
        </is>
      </c>
      <c r="Q4" t="inlineStr">
        <is>
          <t>2384,31</t>
        </is>
      </c>
      <c r="R4" t="inlineStr">
        <is>
          <t>2558,65</t>
        </is>
      </c>
      <c r="S4" t="inlineStr">
        <is>
          <t>2527,95</t>
        </is>
      </c>
      <c r="T4" t="inlineStr">
        <is>
          <t>2574,16</t>
        </is>
      </c>
      <c r="U4" t="inlineStr">
        <is>
          <t>2543,27</t>
        </is>
      </c>
      <c r="V4" t="inlineStr">
        <is>
          <t>2589,85</t>
        </is>
      </c>
      <c r="W4" t="inlineStr">
        <is>
          <t>2558,78</t>
        </is>
      </c>
      <c r="X4" t="inlineStr">
        <is>
          <t>2621,83</t>
        </is>
      </c>
      <c r="Y4" t="inlineStr">
        <is>
          <t>2590,37</t>
        </is>
      </c>
      <c r="Z4" t="inlineStr">
        <is>
          <t>2638,11</t>
        </is>
      </c>
      <c r="AA4" t="inlineStr">
        <is>
          <t>2606,45</t>
        </is>
      </c>
      <c r="AB4" t="inlineStr">
        <is>
          <t>2654,60</t>
        </is>
      </c>
      <c r="AC4" t="inlineStr">
        <is>
          <t>2622,74</t>
        </is>
      </c>
      <c r="AD4" t="inlineStr">
        <is>
          <t>2671,30</t>
        </is>
      </c>
      <c r="AE4" t="inlineStr">
        <is>
          <t>2639,24</t>
        </is>
      </c>
      <c r="AF4" t="inlineStr">
        <is>
          <t>2688,20</t>
        </is>
      </c>
      <c r="AG4" t="inlineStr">
        <is>
          <t>2655,94</t>
        </is>
      </c>
      <c r="AH4" t="inlineStr">
        <is>
          <t>2722,67</t>
        </is>
      </c>
      <c r="AI4" t="inlineStr">
        <is>
          <t>2689,99</t>
        </is>
      </c>
      <c r="AJ4" t="inlineStr">
        <is>
          <t>2740,23</t>
        </is>
      </c>
      <c r="AK4" t="inlineStr">
        <is>
          <t>2707,35</t>
        </is>
      </c>
      <c r="AL4" t="inlineStr">
        <is>
          <t>2758,03</t>
        </is>
      </c>
      <c r="AM4" t="inlineStr">
        <is>
          <t>2724,93</t>
        </is>
      </c>
      <c r="AN4">
        <f>ROUND(N4*(1-0.1979),2)</f>
        <v/>
      </c>
      <c r="AO4">
        <f>ROUND(O4*(1-0.1979),2)</f>
        <v/>
      </c>
      <c r="AP4">
        <f>ROUND(P4*(1-0.1979),2)</f>
        <v/>
      </c>
      <c r="AQ4">
        <f>ROUND(Q4*(1-0.1979),2)</f>
        <v/>
      </c>
      <c r="AR4">
        <f>ROUND(R4*(1-0.1979),2)</f>
        <v/>
      </c>
      <c r="AS4">
        <f>ROUND(S4*(1-0.1979),2)</f>
        <v/>
      </c>
      <c r="AT4">
        <f>ROUND(T4*(1-0.1979),2)</f>
        <v/>
      </c>
      <c r="AU4">
        <f>ROUND(U4*(1-0.1979),2)</f>
        <v/>
      </c>
      <c r="AV4">
        <f>ROUND(V4*(1-0.1979),2)</f>
        <v/>
      </c>
      <c r="AW4">
        <f>ROUND(W4*(1-0.1979),2)</f>
        <v/>
      </c>
      <c r="AX4">
        <f>ROUND(X4*(1-0.1979),2)</f>
        <v/>
      </c>
      <c r="AY4">
        <f>ROUND(Y4*(1-0.1979),2)</f>
        <v/>
      </c>
      <c r="AZ4">
        <f>ROUND(Z4*(1-0.1979),2)</f>
        <v/>
      </c>
      <c r="BA4">
        <f>ROUND(AA4*(1-0.1979),2)</f>
        <v/>
      </c>
      <c r="BB4">
        <f>ROUND(AB4*(1-0.1979),2)</f>
        <v/>
      </c>
      <c r="BC4">
        <f>ROUND(AC4*(1-0.1979),2)</f>
        <v/>
      </c>
      <c r="BD4">
        <f>ROUND(AD4*(1-0.1979),2)</f>
        <v/>
      </c>
      <c r="BE4">
        <f>ROUND(AE4*(1-0.1979),2)</f>
        <v/>
      </c>
      <c r="BF4">
        <f>ROUND(AF4*(1-0.1979),2)</f>
        <v/>
      </c>
      <c r="BG4">
        <f>ROUND(AG4*(1-0.1979),2)</f>
        <v/>
      </c>
      <c r="BH4">
        <f>ROUND(AH4*(1-0.1979),2)</f>
        <v/>
      </c>
      <c r="BI4">
        <f>ROUND(AI4*(1-0.1979),2)</f>
        <v/>
      </c>
      <c r="BJ4">
        <f>ROUND(AJ4*(1-0.1979),2)</f>
        <v/>
      </c>
      <c r="BK4">
        <f>ROUND(AK4*(1-0.1979),2)</f>
        <v/>
      </c>
      <c r="BL4">
        <f>ROUND(AL4*(1-0.1979),2)</f>
        <v/>
      </c>
      <c r="BM4">
        <f>ROUND(AM4*(1-0.1979),2)</f>
        <v/>
      </c>
      <c r="BN4" t="inlineStr">
        <is>
          <t>Sim</t>
        </is>
      </c>
      <c r="BO4" t="inlineStr">
        <is>
          <t>Não</t>
        </is>
      </c>
      <c r="BP4" t="inlineStr">
        <is>
          <t>Não</t>
        </is>
      </c>
      <c r="BR4" t="inlineStr">
        <is>
          <t>Positiva</t>
        </is>
      </c>
      <c r="BS4" t="inlineStr">
        <is>
          <t>Sim</t>
        </is>
      </c>
      <c r="BT4" t="inlineStr">
        <is>
          <t>Tarja Vermelha</t>
        </is>
      </c>
      <c r="BU4" t="inlineStr">
        <is>
          <t>Sim</t>
        </is>
      </c>
      <c r="BW4" t="inlineStr">
        <is>
          <t>Sim</t>
        </is>
      </c>
      <c r="BX4" t="inlineStr">
        <is>
          <t>ABATACEPTE 250 MG</t>
        </is>
      </c>
      <c r="BY4" t="inlineStr">
        <is>
          <t>Substância: nome da substância idêntico (ignorando acentos, espaços e hidratação). Concentração: concentração idêntica.</t>
        </is>
      </c>
    </row>
    <row r="5">
      <c r="A5" t="inlineStr">
        <is>
          <t>ABATACEPTE</t>
        </is>
      </c>
      <c r="B5" t="inlineStr">
        <is>
          <t>56.998.982/0001-07</t>
        </is>
      </c>
      <c r="C5" t="inlineStr">
        <is>
          <t>BRISTOL-MYERS SQUIBB FARMACÊUTICA LTDA</t>
        </is>
      </c>
      <c r="D5" t="inlineStr">
        <is>
          <t>505113100020505</t>
        </is>
      </c>
      <c r="E5" t="inlineStr">
        <is>
          <t>1018003900078</t>
        </is>
      </c>
      <c r="F5" t="inlineStr">
        <is>
          <t>7896016808197</t>
        </is>
      </c>
      <c r="G5" t="inlineStr">
        <is>
          <t xml:space="preserve">    -     </t>
        </is>
      </c>
      <c r="H5" t="inlineStr">
        <is>
          <t xml:space="preserve">    -     </t>
        </is>
      </c>
      <c r="I5" t="inlineStr">
        <is>
          <t>ORENCIA</t>
        </is>
      </c>
      <c r="J5" t="inlineStr">
        <is>
          <t>125 MG/ML SOL INJ SC CT 4 SER PREENC VD TRANS + DISPOSITIVO ULTRASAFE PASSIVE + EXTENSORES DE APOIO</t>
        </is>
      </c>
      <c r="K5" t="inlineStr">
        <is>
          <t>M1C - AGENTES ANTI-REUMÁTICOS ESPECÍFICOS</t>
        </is>
      </c>
      <c r="L5" t="inlineStr">
        <is>
          <t>Biológico</t>
        </is>
      </c>
      <c r="M5" t="inlineStr">
        <is>
          <t>Regulado</t>
        </is>
      </c>
      <c r="N5" t="inlineStr">
        <is>
          <t>6662,98</t>
        </is>
      </c>
      <c r="O5" t="inlineStr">
        <is>
          <t>6743,91</t>
        </is>
      </c>
      <c r="P5" t="inlineStr">
        <is>
          <t>7663,54</t>
        </is>
      </c>
      <c r="Q5" t="inlineStr">
        <is>
          <t>7571,57</t>
        </is>
      </c>
      <c r="R5" t="inlineStr">
        <is>
          <t>8125,19</t>
        </is>
      </c>
      <c r="S5" t="inlineStr">
        <is>
          <t>8027,69</t>
        </is>
      </c>
      <c r="T5" t="inlineStr">
        <is>
          <t>8174,43</t>
        </is>
      </c>
      <c r="U5" t="inlineStr">
        <is>
          <t>8076,34</t>
        </is>
      </c>
      <c r="V5" t="inlineStr">
        <is>
          <t>8224,28</t>
        </is>
      </c>
      <c r="W5" t="inlineStr">
        <is>
          <t>8125,59</t>
        </is>
      </c>
      <c r="X5" t="inlineStr">
        <is>
          <t>8325,82</t>
        </is>
      </c>
      <c r="Y5" t="inlineStr">
        <is>
          <t>8225,90</t>
        </is>
      </c>
      <c r="Z5" t="inlineStr">
        <is>
          <t>8377,53</t>
        </is>
      </c>
      <c r="AA5" t="inlineStr">
        <is>
          <t>8277,00</t>
        </is>
      </c>
      <c r="AB5" t="inlineStr">
        <is>
          <t>8429,89</t>
        </is>
      </c>
      <c r="AC5" t="inlineStr">
        <is>
          <t>8328,72</t>
        </is>
      </c>
      <c r="AD5" t="inlineStr">
        <is>
          <t>8482,91</t>
        </is>
      </c>
      <c r="AE5" t="inlineStr">
        <is>
          <t>8381,11</t>
        </is>
      </c>
      <c r="AF5" t="inlineStr">
        <is>
          <t>8536,60</t>
        </is>
      </c>
      <c r="AG5" t="inlineStr">
        <is>
          <t>8434,16</t>
        </is>
      </c>
      <c r="AH5" t="inlineStr">
        <is>
          <t>8646,04</t>
        </is>
      </c>
      <c r="AI5" t="inlineStr">
        <is>
          <t>8542,28</t>
        </is>
      </c>
      <c r="AJ5" t="inlineStr">
        <is>
          <t>8701,82</t>
        </is>
      </c>
      <c r="AK5" t="inlineStr">
        <is>
          <t>8597,40</t>
        </is>
      </c>
      <c r="AL5" t="inlineStr">
        <is>
          <t>8758,32</t>
        </is>
      </c>
      <c r="AM5" t="inlineStr">
        <is>
          <t>8653,22</t>
        </is>
      </c>
      <c r="AN5">
        <f>ROUND(N5*(1-0.1979),2)</f>
        <v/>
      </c>
      <c r="AO5">
        <f>ROUND(O5*(1-0.1979),2)</f>
        <v/>
      </c>
      <c r="AP5">
        <f>ROUND(P5*(1-0.1979),2)</f>
        <v/>
      </c>
      <c r="AQ5">
        <f>ROUND(Q5*(1-0.1979),2)</f>
        <v/>
      </c>
      <c r="AR5">
        <f>ROUND(R5*(1-0.1979),2)</f>
        <v/>
      </c>
      <c r="AS5">
        <f>ROUND(S5*(1-0.1979),2)</f>
        <v/>
      </c>
      <c r="AT5">
        <f>ROUND(T5*(1-0.1979),2)</f>
        <v/>
      </c>
      <c r="AU5">
        <f>ROUND(U5*(1-0.1979),2)</f>
        <v/>
      </c>
      <c r="AV5">
        <f>ROUND(V5*(1-0.1979),2)</f>
        <v/>
      </c>
      <c r="AW5">
        <f>ROUND(W5*(1-0.1979),2)</f>
        <v/>
      </c>
      <c r="AX5">
        <f>ROUND(X5*(1-0.1979),2)</f>
        <v/>
      </c>
      <c r="AY5">
        <f>ROUND(Y5*(1-0.1979),2)</f>
        <v/>
      </c>
      <c r="AZ5">
        <f>ROUND(Z5*(1-0.1979),2)</f>
        <v/>
      </c>
      <c r="BA5">
        <f>ROUND(AA5*(1-0.1979),2)</f>
        <v/>
      </c>
      <c r="BB5">
        <f>ROUND(AB5*(1-0.1979),2)</f>
        <v/>
      </c>
      <c r="BC5">
        <f>ROUND(AC5*(1-0.1979),2)</f>
        <v/>
      </c>
      <c r="BD5">
        <f>ROUND(AD5*(1-0.1979),2)</f>
        <v/>
      </c>
      <c r="BE5">
        <f>ROUND(AE5*(1-0.1979),2)</f>
        <v/>
      </c>
      <c r="BF5">
        <f>ROUND(AF5*(1-0.1979),2)</f>
        <v/>
      </c>
      <c r="BG5">
        <f>ROUND(AG5*(1-0.1979),2)</f>
        <v/>
      </c>
      <c r="BH5">
        <f>ROUND(AH5*(1-0.1979),2)</f>
        <v/>
      </c>
      <c r="BI5">
        <f>ROUND(AI5*(1-0.1979),2)</f>
        <v/>
      </c>
      <c r="BJ5">
        <f>ROUND(AJ5*(1-0.1979),2)</f>
        <v/>
      </c>
      <c r="BK5">
        <f>ROUND(AK5*(1-0.1979),2)</f>
        <v/>
      </c>
      <c r="BL5">
        <f>ROUND(AL5*(1-0.1979),2)</f>
        <v/>
      </c>
      <c r="BM5">
        <f>ROUND(AM5*(1-0.1979),2)</f>
        <v/>
      </c>
      <c r="BN5" t="inlineStr">
        <is>
          <t>Não</t>
        </is>
      </c>
      <c r="BO5" t="inlineStr">
        <is>
          <t>Sim</t>
        </is>
      </c>
      <c r="BP5" t="inlineStr">
        <is>
          <t>Não</t>
        </is>
      </c>
      <c r="BR5" t="inlineStr">
        <is>
          <t>Positiva</t>
        </is>
      </c>
      <c r="BS5" t="inlineStr">
        <is>
          <t>Sim</t>
        </is>
      </c>
      <c r="BT5" t="inlineStr">
        <is>
          <t xml:space="preserve">- (*) </t>
        </is>
      </c>
      <c r="BU5" t="inlineStr">
        <is>
          <t>Sim</t>
        </is>
      </c>
      <c r="BW5" t="inlineStr">
        <is>
          <t>Sim</t>
        </is>
      </c>
      <c r="BX5" t="inlineStr">
        <is>
          <t>ABATACEPTE 125 MG/ML</t>
        </is>
      </c>
      <c r="BY5" t="inlineStr">
        <is>
          <t>Substância: nome da substância idêntico (ignorando acentos, espaços e hidratação). Concentração: concentração idêntica.</t>
        </is>
      </c>
    </row>
    <row r="6">
      <c r="A6" t="inlineStr">
        <is>
          <t>ABEMACICLIBE</t>
        </is>
      </c>
      <c r="B6" t="inlineStr">
        <is>
          <t>43.940.618/0001-44</t>
        </is>
      </c>
      <c r="C6" t="inlineStr">
        <is>
          <t>ELI LILLY DO BRASIL LTDA</t>
        </is>
      </c>
      <c r="D6" t="inlineStr">
        <is>
          <t>507619060021902</t>
        </is>
      </c>
      <c r="E6" t="inlineStr">
        <is>
          <t>1126001990018</t>
        </is>
      </c>
      <c r="F6" t="inlineStr">
        <is>
          <t>7896382708442</t>
        </is>
      </c>
      <c r="G6" t="inlineStr">
        <is>
          <t xml:space="preserve">    -     </t>
        </is>
      </c>
      <c r="H6" t="inlineStr">
        <is>
          <t xml:space="preserve">    -     </t>
        </is>
      </c>
      <c r="I6" t="inlineStr">
        <is>
          <t>VERZENIOS</t>
        </is>
      </c>
      <c r="J6" t="inlineStr">
        <is>
          <t>50 MG COM REV CT BL AL AL X 30</t>
        </is>
      </c>
      <c r="K6" t="inlineStr">
        <is>
          <t>L1H - INIBIDORES DE PROTEINA QUINASE</t>
        </is>
      </c>
      <c r="L6" t="inlineStr">
        <is>
          <t>Novo</t>
        </is>
      </c>
      <c r="M6" t="inlineStr">
        <is>
          <t>Regulado</t>
        </is>
      </c>
      <c r="N6" t="inlineStr">
        <is>
          <t>2817,37</t>
        </is>
      </c>
      <c r="O6" t="inlineStr">
        <is>
          <t>3155,46</t>
        </is>
      </c>
      <c r="P6" t="inlineStr">
        <is>
          <t>3585,75</t>
        </is>
      </c>
      <c r="Q6" t="inlineStr">
        <is>
          <t>3201,56</t>
        </is>
      </c>
      <c r="R6" t="inlineStr">
        <is>
          <t>3801,76</t>
        </is>
      </c>
      <c r="S6" t="inlineStr">
        <is>
          <t>3394,43</t>
        </is>
      </c>
      <c r="T6" t="inlineStr">
        <is>
          <t>3824,80</t>
        </is>
      </c>
      <c r="U6" t="inlineStr">
        <is>
          <t>3415,00</t>
        </is>
      </c>
      <c r="V6" t="inlineStr">
        <is>
          <t>3848,12</t>
        </is>
      </c>
      <c r="W6" t="inlineStr">
        <is>
          <t>3435,82</t>
        </is>
      </c>
      <c r="X6" t="inlineStr">
        <is>
          <t>3895,63</t>
        </is>
      </c>
      <c r="Y6" t="inlineStr">
        <is>
          <t>3478,24</t>
        </is>
      </c>
      <c r="Z6" t="inlineStr">
        <is>
          <t>3919,83</t>
        </is>
      </c>
      <c r="AA6" t="inlineStr">
        <is>
          <t>3499,84</t>
        </is>
      </c>
      <c r="AB6" t="inlineStr">
        <is>
          <t>3944,33</t>
        </is>
      </c>
      <c r="AC6" t="inlineStr">
        <is>
          <t>3521,72</t>
        </is>
      </c>
      <c r="AD6" t="inlineStr">
        <is>
          <t>3969,13</t>
        </is>
      </c>
      <c r="AE6" t="inlineStr">
        <is>
          <t>3543,87</t>
        </is>
      </c>
      <c r="AF6" t="inlineStr">
        <is>
          <t>3994,25</t>
        </is>
      </c>
      <c r="AG6" t="inlineStr">
        <is>
          <t>3566,30</t>
        </is>
      </c>
      <c r="AH6" t="inlineStr">
        <is>
          <t>4045,46</t>
        </is>
      </c>
      <c r="AI6" t="inlineStr">
        <is>
          <t>3612,02</t>
        </is>
      </c>
      <c r="AJ6" t="inlineStr">
        <is>
          <t>4071,56</t>
        </is>
      </c>
      <c r="AK6" t="inlineStr">
        <is>
          <t>3635,32</t>
        </is>
      </c>
      <c r="AL6" t="inlineStr">
        <is>
          <t>4098,00</t>
        </is>
      </c>
      <c r="AM6" t="inlineStr">
        <is>
          <t>3658,93</t>
        </is>
      </c>
      <c r="AN6">
        <f>ROUND(N6*(1-0.1979),2)</f>
        <v/>
      </c>
      <c r="AO6">
        <f>ROUND(O6*(1-0.1979),2)</f>
        <v/>
      </c>
      <c r="AP6">
        <f>ROUND(P6*(1-0.1979),2)</f>
        <v/>
      </c>
      <c r="AQ6">
        <f>ROUND(Q6*(1-0.1979),2)</f>
        <v/>
      </c>
      <c r="AR6">
        <f>ROUND(R6*(1-0.1979),2)</f>
        <v/>
      </c>
      <c r="AS6">
        <f>ROUND(S6*(1-0.1979),2)</f>
        <v/>
      </c>
      <c r="AT6">
        <f>ROUND(T6*(1-0.1979),2)</f>
        <v/>
      </c>
      <c r="AU6">
        <f>ROUND(U6*(1-0.1979),2)</f>
        <v/>
      </c>
      <c r="AV6">
        <f>ROUND(V6*(1-0.1979),2)</f>
        <v/>
      </c>
      <c r="AW6">
        <f>ROUND(W6*(1-0.1979),2)</f>
        <v/>
      </c>
      <c r="AX6">
        <f>ROUND(X6*(1-0.1979),2)</f>
        <v/>
      </c>
      <c r="AY6">
        <f>ROUND(Y6*(1-0.1979),2)</f>
        <v/>
      </c>
      <c r="AZ6">
        <f>ROUND(Z6*(1-0.1979),2)</f>
        <v/>
      </c>
      <c r="BA6">
        <f>ROUND(AA6*(1-0.1979),2)</f>
        <v/>
      </c>
      <c r="BB6">
        <f>ROUND(AB6*(1-0.1979),2)</f>
        <v/>
      </c>
      <c r="BC6">
        <f>ROUND(AC6*(1-0.1979),2)</f>
        <v/>
      </c>
      <c r="BD6">
        <f>ROUND(AD6*(1-0.1979),2)</f>
        <v/>
      </c>
      <c r="BE6">
        <f>ROUND(AE6*(1-0.1979),2)</f>
        <v/>
      </c>
      <c r="BF6">
        <f>ROUND(AF6*(1-0.1979),2)</f>
        <v/>
      </c>
      <c r="BG6">
        <f>ROUND(AG6*(1-0.1979),2)</f>
        <v/>
      </c>
      <c r="BH6">
        <f>ROUND(AH6*(1-0.1979),2)</f>
        <v/>
      </c>
      <c r="BI6">
        <f>ROUND(AI6*(1-0.1979),2)</f>
        <v/>
      </c>
      <c r="BJ6">
        <f>ROUND(AJ6*(1-0.1979),2)</f>
        <v/>
      </c>
      <c r="BK6">
        <f>ROUND(AK6*(1-0.1979),2)</f>
        <v/>
      </c>
      <c r="BL6">
        <f>ROUND(AL6*(1-0.1979),2)</f>
        <v/>
      </c>
      <c r="BM6">
        <f>ROUND(AM6*(1-0.1979),2)</f>
        <v/>
      </c>
      <c r="BN6" t="inlineStr">
        <is>
          <t>Não</t>
        </is>
      </c>
      <c r="BO6" t="inlineStr">
        <is>
          <t>Não</t>
        </is>
      </c>
      <c r="BP6" t="inlineStr">
        <is>
          <t>Não</t>
        </is>
      </c>
      <c r="BR6" t="inlineStr">
        <is>
          <t>Negativa</t>
        </is>
      </c>
      <c r="BS6" t="inlineStr">
        <is>
          <t>Sim</t>
        </is>
      </c>
      <c r="BT6" t="inlineStr">
        <is>
          <t>Tarja Vermelha</t>
        </is>
      </c>
      <c r="BU6" t="inlineStr">
        <is>
          <t>Não</t>
        </is>
      </c>
      <c r="BW6" t="inlineStr">
        <is>
          <t>Sim</t>
        </is>
      </c>
      <c r="BX6" t="inlineStr">
        <is>
          <t>ABEMACICLIBE 50 MG</t>
        </is>
      </c>
      <c r="BY6" t="inlineStr">
        <is>
          <t>Substância: nome da substância idêntico (ignorando acentos, espaços e hidratação). Concentração: concentração idêntica.</t>
        </is>
      </c>
    </row>
    <row r="7">
      <c r="A7" t="inlineStr">
        <is>
          <t>ABEMACICLIBE</t>
        </is>
      </c>
      <c r="B7" t="inlineStr">
        <is>
          <t>43.940.618/0001-44</t>
        </is>
      </c>
      <c r="C7" t="inlineStr">
        <is>
          <t>ELI LILLY DO BRASIL LTDA</t>
        </is>
      </c>
      <c r="D7" t="inlineStr">
        <is>
          <t>507619060022102</t>
        </is>
      </c>
      <c r="E7" t="inlineStr">
        <is>
          <t>1126001990034</t>
        </is>
      </c>
      <c r="F7" t="inlineStr">
        <is>
          <t>7896382708466</t>
        </is>
      </c>
      <c r="G7" t="inlineStr">
        <is>
          <t xml:space="preserve">    -     </t>
        </is>
      </c>
      <c r="H7" t="inlineStr">
        <is>
          <t xml:space="preserve">    -     </t>
        </is>
      </c>
      <c r="I7" t="inlineStr">
        <is>
          <t>VERZENIOS</t>
        </is>
      </c>
      <c r="J7" t="inlineStr">
        <is>
          <t>100 MG COM REV CT BL AL AL X 30</t>
        </is>
      </c>
      <c r="K7" t="inlineStr">
        <is>
          <t>L1H - INIBIDORES DE PROTEINA QUINASE</t>
        </is>
      </c>
      <c r="L7" t="inlineStr">
        <is>
          <t>Novo</t>
        </is>
      </c>
      <c r="M7" t="inlineStr">
        <is>
          <t>Regulado</t>
        </is>
      </c>
      <c r="N7" t="inlineStr">
        <is>
          <t>5634,72</t>
        </is>
      </c>
      <c r="O7" t="inlineStr">
        <is>
          <t>6310,89</t>
        </is>
      </c>
      <c r="P7" t="inlineStr">
        <is>
          <t>7171,47</t>
        </is>
      </c>
      <c r="Q7" t="inlineStr">
        <is>
          <t>6403,10</t>
        </is>
      </c>
      <c r="R7" t="inlineStr">
        <is>
          <t>7603,48</t>
        </is>
      </c>
      <c r="S7" t="inlineStr">
        <is>
          <t>6788,82</t>
        </is>
      </c>
      <c r="T7" t="inlineStr">
        <is>
          <t>7649,56</t>
        </is>
      </c>
      <c r="U7" t="inlineStr">
        <is>
          <t>6829,97</t>
        </is>
      </c>
      <c r="V7" t="inlineStr">
        <is>
          <t>7696,21</t>
        </is>
      </c>
      <c r="W7" t="inlineStr">
        <is>
          <t>6871,61</t>
        </is>
      </c>
      <c r="X7" t="inlineStr">
        <is>
          <t>7791,22</t>
        </is>
      </c>
      <c r="Y7" t="inlineStr">
        <is>
          <t>6956,44</t>
        </is>
      </c>
      <c r="Z7" t="inlineStr">
        <is>
          <t>7839,61</t>
        </is>
      </c>
      <c r="AA7" t="inlineStr">
        <is>
          <t>6999,65</t>
        </is>
      </c>
      <c r="AB7" t="inlineStr">
        <is>
          <t>7888,61</t>
        </is>
      </c>
      <c r="AC7" t="inlineStr">
        <is>
          <t>7043,40</t>
        </is>
      </c>
      <c r="AD7" t="inlineStr">
        <is>
          <t>7938,23</t>
        </is>
      </c>
      <c r="AE7" t="inlineStr">
        <is>
          <t>7087,70</t>
        </is>
      </c>
      <c r="AF7" t="inlineStr">
        <is>
          <t>7988,47</t>
        </is>
      </c>
      <c r="AG7" t="inlineStr">
        <is>
          <t>7132,56</t>
        </is>
      </c>
      <c r="AH7" t="inlineStr">
        <is>
          <t>8090,88</t>
        </is>
      </c>
      <c r="AI7" t="inlineStr">
        <is>
          <t>7224,00</t>
        </is>
      </c>
      <c r="AJ7" t="inlineStr">
        <is>
          <t>8143,09</t>
        </is>
      </c>
      <c r="AK7" t="inlineStr">
        <is>
          <t>7270,61</t>
        </is>
      </c>
      <c r="AL7" t="inlineStr">
        <is>
          <t>8195,96</t>
        </is>
      </c>
      <c r="AM7" t="inlineStr">
        <is>
          <t>7317,82</t>
        </is>
      </c>
      <c r="AN7">
        <f>ROUND(N7*(1-0.1979),2)</f>
        <v/>
      </c>
      <c r="AO7">
        <f>ROUND(O7*(1-0.1979),2)</f>
        <v/>
      </c>
      <c r="AP7">
        <f>ROUND(P7*(1-0.1979),2)</f>
        <v/>
      </c>
      <c r="AQ7">
        <f>ROUND(Q7*(1-0.1979),2)</f>
        <v/>
      </c>
      <c r="AR7">
        <f>ROUND(R7*(1-0.1979),2)</f>
        <v/>
      </c>
      <c r="AS7">
        <f>ROUND(S7*(1-0.1979),2)</f>
        <v/>
      </c>
      <c r="AT7">
        <f>ROUND(T7*(1-0.1979),2)</f>
        <v/>
      </c>
      <c r="AU7">
        <f>ROUND(U7*(1-0.1979),2)</f>
        <v/>
      </c>
      <c r="AV7">
        <f>ROUND(V7*(1-0.1979),2)</f>
        <v/>
      </c>
      <c r="AW7">
        <f>ROUND(W7*(1-0.1979),2)</f>
        <v/>
      </c>
      <c r="AX7">
        <f>ROUND(X7*(1-0.1979),2)</f>
        <v/>
      </c>
      <c r="AY7">
        <f>ROUND(Y7*(1-0.1979),2)</f>
        <v/>
      </c>
      <c r="AZ7">
        <f>ROUND(Z7*(1-0.1979),2)</f>
        <v/>
      </c>
      <c r="BA7">
        <f>ROUND(AA7*(1-0.1979),2)</f>
        <v/>
      </c>
      <c r="BB7">
        <f>ROUND(AB7*(1-0.1979),2)</f>
        <v/>
      </c>
      <c r="BC7">
        <f>ROUND(AC7*(1-0.1979),2)</f>
        <v/>
      </c>
      <c r="BD7">
        <f>ROUND(AD7*(1-0.1979),2)</f>
        <v/>
      </c>
      <c r="BE7">
        <f>ROUND(AE7*(1-0.1979),2)</f>
        <v/>
      </c>
      <c r="BF7">
        <f>ROUND(AF7*(1-0.1979),2)</f>
        <v/>
      </c>
      <c r="BG7">
        <f>ROUND(AG7*(1-0.1979),2)</f>
        <v/>
      </c>
      <c r="BH7">
        <f>ROUND(AH7*(1-0.1979),2)</f>
        <v/>
      </c>
      <c r="BI7">
        <f>ROUND(AI7*(1-0.1979),2)</f>
        <v/>
      </c>
      <c r="BJ7">
        <f>ROUND(AJ7*(1-0.1979),2)</f>
        <v/>
      </c>
      <c r="BK7">
        <f>ROUND(AK7*(1-0.1979),2)</f>
        <v/>
      </c>
      <c r="BL7">
        <f>ROUND(AL7*(1-0.1979),2)</f>
        <v/>
      </c>
      <c r="BM7">
        <f>ROUND(AM7*(1-0.1979),2)</f>
        <v/>
      </c>
      <c r="BN7" t="inlineStr">
        <is>
          <t>Não</t>
        </is>
      </c>
      <c r="BO7" t="inlineStr">
        <is>
          <t>Não</t>
        </is>
      </c>
      <c r="BP7" t="inlineStr">
        <is>
          <t>Não</t>
        </is>
      </c>
      <c r="BR7" t="inlineStr">
        <is>
          <t>Negativa</t>
        </is>
      </c>
      <c r="BS7" t="inlineStr">
        <is>
          <t>Sim</t>
        </is>
      </c>
      <c r="BT7" t="inlineStr">
        <is>
          <t>Tarja Vermelha</t>
        </is>
      </c>
      <c r="BU7" t="inlineStr">
        <is>
          <t>Não</t>
        </is>
      </c>
      <c r="BW7" t="inlineStr">
        <is>
          <t>Sim</t>
        </is>
      </c>
      <c r="BX7" t="inlineStr">
        <is>
          <t>ABEMACICLIBE 100 MG</t>
        </is>
      </c>
      <c r="BY7" t="inlineStr">
        <is>
          <t>Substância: nome da substância idêntico (ignorando acentos, espaços e hidratação). Concentração: concentração idêntica.</t>
        </is>
      </c>
    </row>
    <row r="8">
      <c r="A8" t="inlineStr">
        <is>
          <t>ABEMACICLIBE</t>
        </is>
      </c>
      <c r="B8" t="inlineStr">
        <is>
          <t>43.940.618/0001-44</t>
        </is>
      </c>
      <c r="C8" t="inlineStr">
        <is>
          <t>ELI LILLY DO BRASIL LTDA</t>
        </is>
      </c>
      <c r="D8" t="inlineStr">
        <is>
          <t>507619060022302</t>
        </is>
      </c>
      <c r="E8" t="inlineStr">
        <is>
          <t>1126001990050</t>
        </is>
      </c>
      <c r="F8" t="inlineStr">
        <is>
          <t>7896382708480</t>
        </is>
      </c>
      <c r="G8" t="inlineStr">
        <is>
          <t xml:space="preserve">    -     </t>
        </is>
      </c>
      <c r="H8" t="inlineStr">
        <is>
          <t xml:space="preserve">    -     </t>
        </is>
      </c>
      <c r="I8" t="inlineStr">
        <is>
          <t>VERZENIOS</t>
        </is>
      </c>
      <c r="J8" t="inlineStr">
        <is>
          <t>150 MG COM REV CT BL AL AL X 30</t>
        </is>
      </c>
      <c r="K8" t="inlineStr">
        <is>
          <t>L1H - INIBIDORES DE PROTEINA QUINASE</t>
        </is>
      </c>
      <c r="L8" t="inlineStr">
        <is>
          <t>Novo</t>
        </is>
      </c>
      <c r="M8" t="inlineStr">
        <is>
          <t>Regulado</t>
        </is>
      </c>
      <c r="N8" t="inlineStr">
        <is>
          <t>8090,99</t>
        </is>
      </c>
      <c r="O8" t="inlineStr">
        <is>
          <t>9061,91</t>
        </is>
      </c>
      <c r="P8" t="inlineStr">
        <is>
          <t>10297,63</t>
        </is>
      </c>
      <c r="Q8" t="inlineStr">
        <is>
          <t>9194,31</t>
        </is>
      </c>
      <c r="R8" t="inlineStr">
        <is>
          <t>10917,96</t>
        </is>
      </c>
      <c r="S8" t="inlineStr">
        <is>
          <t>9748,18</t>
        </is>
      </c>
      <c r="T8" t="inlineStr">
        <is>
          <t>10984,13</t>
        </is>
      </c>
      <c r="U8" t="inlineStr">
        <is>
          <t>9807,26</t>
        </is>
      </c>
      <c r="V8" t="inlineStr">
        <is>
          <t>11051,11</t>
        </is>
      </c>
      <c r="W8" t="inlineStr">
        <is>
          <t>9867,06</t>
        </is>
      </c>
      <c r="X8" t="inlineStr">
        <is>
          <t>11187,54</t>
        </is>
      </c>
      <c r="Y8" t="inlineStr">
        <is>
          <t>9988,87</t>
        </is>
      </c>
      <c r="Z8" t="inlineStr">
        <is>
          <t>11257,03</t>
        </is>
      </c>
      <c r="AA8" t="inlineStr">
        <is>
          <t>10050,92</t>
        </is>
      </c>
      <c r="AB8" t="inlineStr">
        <is>
          <t>11327,39</t>
        </is>
      </c>
      <c r="AC8" t="inlineStr">
        <is>
          <t>10113,73</t>
        </is>
      </c>
      <c r="AD8" t="inlineStr">
        <is>
          <t>11398,63</t>
        </is>
      </c>
      <c r="AE8" t="inlineStr">
        <is>
          <t>10177,34</t>
        </is>
      </c>
      <c r="AF8" t="inlineStr">
        <is>
          <t>11470,77</t>
        </is>
      </c>
      <c r="AG8" t="inlineStr">
        <is>
          <t>10241,76</t>
        </is>
      </c>
      <c r="AH8" t="inlineStr">
        <is>
          <t>11617,83</t>
        </is>
      </c>
      <c r="AI8" t="inlineStr">
        <is>
          <t>10373,06</t>
        </is>
      </c>
      <c r="AJ8" t="inlineStr">
        <is>
          <t>11692,79</t>
        </is>
      </c>
      <c r="AK8" t="inlineStr">
        <is>
          <t>10439,98</t>
        </is>
      </c>
      <c r="AL8" t="inlineStr">
        <is>
          <t>11768,71</t>
        </is>
      </c>
      <c r="AM8" t="inlineStr">
        <is>
          <t>10507,77</t>
        </is>
      </c>
      <c r="AN8">
        <f>ROUND(N8*(1-0.1979),2)</f>
        <v/>
      </c>
      <c r="AO8">
        <f>ROUND(O8*(1-0.1979),2)</f>
        <v/>
      </c>
      <c r="AP8">
        <f>ROUND(P8*(1-0.1979),2)</f>
        <v/>
      </c>
      <c r="AQ8">
        <f>ROUND(Q8*(1-0.1979),2)</f>
        <v/>
      </c>
      <c r="AR8">
        <f>ROUND(R8*(1-0.1979),2)</f>
        <v/>
      </c>
      <c r="AS8">
        <f>ROUND(S8*(1-0.1979),2)</f>
        <v/>
      </c>
      <c r="AT8">
        <f>ROUND(T8*(1-0.1979),2)</f>
        <v/>
      </c>
      <c r="AU8">
        <f>ROUND(U8*(1-0.1979),2)</f>
        <v/>
      </c>
      <c r="AV8">
        <f>ROUND(V8*(1-0.1979),2)</f>
        <v/>
      </c>
      <c r="AW8">
        <f>ROUND(W8*(1-0.1979),2)</f>
        <v/>
      </c>
      <c r="AX8">
        <f>ROUND(X8*(1-0.1979),2)</f>
        <v/>
      </c>
      <c r="AY8">
        <f>ROUND(Y8*(1-0.1979),2)</f>
        <v/>
      </c>
      <c r="AZ8">
        <f>ROUND(Z8*(1-0.1979),2)</f>
        <v/>
      </c>
      <c r="BA8">
        <f>ROUND(AA8*(1-0.1979),2)</f>
        <v/>
      </c>
      <c r="BB8">
        <f>ROUND(AB8*(1-0.1979),2)</f>
        <v/>
      </c>
      <c r="BC8">
        <f>ROUND(AC8*(1-0.1979),2)</f>
        <v/>
      </c>
      <c r="BD8">
        <f>ROUND(AD8*(1-0.1979),2)</f>
        <v/>
      </c>
      <c r="BE8">
        <f>ROUND(AE8*(1-0.1979),2)</f>
        <v/>
      </c>
      <c r="BF8">
        <f>ROUND(AF8*(1-0.1979),2)</f>
        <v/>
      </c>
      <c r="BG8">
        <f>ROUND(AG8*(1-0.1979),2)</f>
        <v/>
      </c>
      <c r="BH8">
        <f>ROUND(AH8*(1-0.1979),2)</f>
        <v/>
      </c>
      <c r="BI8">
        <f>ROUND(AI8*(1-0.1979),2)</f>
        <v/>
      </c>
      <c r="BJ8">
        <f>ROUND(AJ8*(1-0.1979),2)</f>
        <v/>
      </c>
      <c r="BK8">
        <f>ROUND(AK8*(1-0.1979),2)</f>
        <v/>
      </c>
      <c r="BL8">
        <f>ROUND(AL8*(1-0.1979),2)</f>
        <v/>
      </c>
      <c r="BM8">
        <f>ROUND(AM8*(1-0.1979),2)</f>
        <v/>
      </c>
      <c r="BN8" t="inlineStr">
        <is>
          <t>Não</t>
        </is>
      </c>
      <c r="BO8" t="inlineStr">
        <is>
          <t>Não</t>
        </is>
      </c>
      <c r="BP8" t="inlineStr">
        <is>
          <t>Não</t>
        </is>
      </c>
      <c r="BR8" t="inlineStr">
        <is>
          <t>Negativa</t>
        </is>
      </c>
      <c r="BS8" t="inlineStr">
        <is>
          <t>Sim</t>
        </is>
      </c>
      <c r="BT8" t="inlineStr">
        <is>
          <t>Tarja Vermelha</t>
        </is>
      </c>
      <c r="BU8" t="inlineStr">
        <is>
          <t>Não</t>
        </is>
      </c>
      <c r="BW8" t="inlineStr">
        <is>
          <t>Sim</t>
        </is>
      </c>
      <c r="BX8" t="inlineStr">
        <is>
          <t>ABEMACICLIBE 150 MG</t>
        </is>
      </c>
      <c r="BY8" t="inlineStr">
        <is>
          <t>Substância: nome da substância idêntico (ignorando acentos, espaços e hidratação). Concentração: concentração idêntica.</t>
        </is>
      </c>
    </row>
    <row r="9">
      <c r="A9" t="inlineStr">
        <is>
          <t>ABEMACICLIBE</t>
        </is>
      </c>
      <c r="B9" t="inlineStr">
        <is>
          <t>43.940.618/0001-44</t>
        </is>
      </c>
      <c r="C9" t="inlineStr">
        <is>
          <t>ELI LILLY DO BRASIL LTDA</t>
        </is>
      </c>
      <c r="D9" t="inlineStr">
        <is>
          <t>507619060022402</t>
        </is>
      </c>
      <c r="E9" t="inlineStr">
        <is>
          <t>1126001990069</t>
        </is>
      </c>
      <c r="F9" t="inlineStr">
        <is>
          <t>7896382708497</t>
        </is>
      </c>
      <c r="G9" t="inlineStr">
        <is>
          <t xml:space="preserve">    -     </t>
        </is>
      </c>
      <c r="H9" t="inlineStr">
        <is>
          <t xml:space="preserve">    -     </t>
        </is>
      </c>
      <c r="I9" t="inlineStr">
        <is>
          <t>VERZENIOS</t>
        </is>
      </c>
      <c r="J9" t="inlineStr">
        <is>
          <t>150 MG COM REV CT BL AL AL X 60</t>
        </is>
      </c>
      <c r="K9" t="inlineStr">
        <is>
          <t>L1H - INIBIDORES DE PROTEINA QUINASE</t>
        </is>
      </c>
      <c r="L9" t="inlineStr">
        <is>
          <t>Novo</t>
        </is>
      </c>
      <c r="M9" t="inlineStr">
        <is>
          <t>Regulado</t>
        </is>
      </c>
      <c r="N9" t="inlineStr">
        <is>
          <t>16181,97</t>
        </is>
      </c>
      <c r="O9" t="inlineStr">
        <is>
          <t>18123,81</t>
        </is>
      </c>
      <c r="P9" t="inlineStr">
        <is>
          <t>20595,25</t>
        </is>
      </c>
      <c r="Q9" t="inlineStr">
        <is>
          <t>18388,62</t>
        </is>
      </c>
      <c r="R9" t="inlineStr">
        <is>
          <t>21835,91</t>
        </is>
      </c>
      <c r="S9" t="inlineStr">
        <is>
          <t>19496,34</t>
        </is>
      </c>
      <c r="T9" t="inlineStr">
        <is>
          <t>21968,25</t>
        </is>
      </c>
      <c r="U9" t="inlineStr">
        <is>
          <t>19614,51</t>
        </is>
      </c>
      <c r="V9" t="inlineStr">
        <is>
          <t>22102,20</t>
        </is>
      </c>
      <c r="W9" t="inlineStr">
        <is>
          <t>19734,11</t>
        </is>
      </c>
      <c r="X9" t="inlineStr">
        <is>
          <t>22375,08</t>
        </is>
      </c>
      <c r="Y9" t="inlineStr">
        <is>
          <t>19977,73</t>
        </is>
      </c>
      <c r="Z9" t="inlineStr">
        <is>
          <t>22514,05</t>
        </is>
      </c>
      <c r="AA9" t="inlineStr">
        <is>
          <t>20101,82</t>
        </is>
      </c>
      <c r="AB9" t="inlineStr">
        <is>
          <t>22654,76</t>
        </is>
      </c>
      <c r="AC9" t="inlineStr">
        <is>
          <t>20227,46</t>
        </is>
      </c>
      <c r="AD9" t="inlineStr">
        <is>
          <t>22797,25</t>
        </is>
      </c>
      <c r="AE9" t="inlineStr">
        <is>
          <t>20354,67</t>
        </is>
      </c>
      <c r="AF9" t="inlineStr">
        <is>
          <t>22941,54</t>
        </is>
      </c>
      <c r="AG9" t="inlineStr">
        <is>
          <t>20483,51</t>
        </is>
      </c>
      <c r="AH9" t="inlineStr">
        <is>
          <t>23235,65</t>
        </is>
      </c>
      <c r="AI9" t="inlineStr">
        <is>
          <t>20746,11</t>
        </is>
      </c>
      <c r="AJ9" t="inlineStr">
        <is>
          <t>23385,57</t>
        </is>
      </c>
      <c r="AK9" t="inlineStr">
        <is>
          <t>20879,95</t>
        </is>
      </c>
      <c r="AL9" t="inlineStr">
        <is>
          <t>23537,41</t>
        </is>
      </c>
      <c r="AM9" t="inlineStr">
        <is>
          <t>21015,54</t>
        </is>
      </c>
      <c r="AN9">
        <f>ROUND(N9*(1-0.1979),2)</f>
        <v/>
      </c>
      <c r="AO9">
        <f>ROUND(O9*(1-0.1979),2)</f>
        <v/>
      </c>
      <c r="AP9">
        <f>ROUND(P9*(1-0.1979),2)</f>
        <v/>
      </c>
      <c r="AQ9">
        <f>ROUND(Q9*(1-0.1979),2)</f>
        <v/>
      </c>
      <c r="AR9">
        <f>ROUND(R9*(1-0.1979),2)</f>
        <v/>
      </c>
      <c r="AS9">
        <f>ROUND(S9*(1-0.1979),2)</f>
        <v/>
      </c>
      <c r="AT9">
        <f>ROUND(T9*(1-0.1979),2)</f>
        <v/>
      </c>
      <c r="AU9">
        <f>ROUND(U9*(1-0.1979),2)</f>
        <v/>
      </c>
      <c r="AV9">
        <f>ROUND(V9*(1-0.1979),2)</f>
        <v/>
      </c>
      <c r="AW9">
        <f>ROUND(W9*(1-0.1979),2)</f>
        <v/>
      </c>
      <c r="AX9">
        <f>ROUND(X9*(1-0.1979),2)</f>
        <v/>
      </c>
      <c r="AY9">
        <f>ROUND(Y9*(1-0.1979),2)</f>
        <v/>
      </c>
      <c r="AZ9">
        <f>ROUND(Z9*(1-0.1979),2)</f>
        <v/>
      </c>
      <c r="BA9">
        <f>ROUND(AA9*(1-0.1979),2)</f>
        <v/>
      </c>
      <c r="BB9">
        <f>ROUND(AB9*(1-0.1979),2)</f>
        <v/>
      </c>
      <c r="BC9">
        <f>ROUND(AC9*(1-0.1979),2)</f>
        <v/>
      </c>
      <c r="BD9">
        <f>ROUND(AD9*(1-0.1979),2)</f>
        <v/>
      </c>
      <c r="BE9">
        <f>ROUND(AE9*(1-0.1979),2)</f>
        <v/>
      </c>
      <c r="BF9">
        <f>ROUND(AF9*(1-0.1979),2)</f>
        <v/>
      </c>
      <c r="BG9">
        <f>ROUND(AG9*(1-0.1979),2)</f>
        <v/>
      </c>
      <c r="BH9">
        <f>ROUND(AH9*(1-0.1979),2)</f>
        <v/>
      </c>
      <c r="BI9">
        <f>ROUND(AI9*(1-0.1979),2)</f>
        <v/>
      </c>
      <c r="BJ9">
        <f>ROUND(AJ9*(1-0.1979),2)</f>
        <v/>
      </c>
      <c r="BK9">
        <f>ROUND(AK9*(1-0.1979),2)</f>
        <v/>
      </c>
      <c r="BL9">
        <f>ROUND(AL9*(1-0.1979),2)</f>
        <v/>
      </c>
      <c r="BM9">
        <f>ROUND(AM9*(1-0.1979),2)</f>
        <v/>
      </c>
      <c r="BN9" t="inlineStr">
        <is>
          <t>Não</t>
        </is>
      </c>
      <c r="BO9" t="inlineStr">
        <is>
          <t>Não</t>
        </is>
      </c>
      <c r="BP9" t="inlineStr">
        <is>
          <t>Não</t>
        </is>
      </c>
      <c r="BR9" t="inlineStr">
        <is>
          <t>Negativa</t>
        </is>
      </c>
      <c r="BS9" t="inlineStr">
        <is>
          <t>Sim</t>
        </is>
      </c>
      <c r="BT9" t="inlineStr">
        <is>
          <t>Tarja Vermelha</t>
        </is>
      </c>
      <c r="BU9" t="inlineStr">
        <is>
          <t>Não</t>
        </is>
      </c>
      <c r="BW9" t="inlineStr">
        <is>
          <t>Sim</t>
        </is>
      </c>
      <c r="BX9" t="inlineStr">
        <is>
          <t>ABEMACICLIBE 150 MG</t>
        </is>
      </c>
      <c r="BY9" t="inlineStr">
        <is>
          <t>Substância: nome da substância idêntico (ignorando acentos, espaços e hidratação). Concentração: concentração idêntica.</t>
        </is>
      </c>
    </row>
    <row r="10">
      <c r="A10" t="inlineStr">
        <is>
          <t>ABEMACICLIBE</t>
        </is>
      </c>
      <c r="B10" t="inlineStr">
        <is>
          <t>43.940.618/0001-44</t>
        </is>
      </c>
      <c r="C10" t="inlineStr">
        <is>
          <t>ELI LILLY DO BRASIL LTDA</t>
        </is>
      </c>
      <c r="D10" t="inlineStr">
        <is>
          <t>507619060022502</t>
        </is>
      </c>
      <c r="E10" t="inlineStr">
        <is>
          <t>1126001990077</t>
        </is>
      </c>
      <c r="F10" t="inlineStr">
        <is>
          <t>7896382708503</t>
        </is>
      </c>
      <c r="G10" t="inlineStr">
        <is>
          <t xml:space="preserve">    -     </t>
        </is>
      </c>
      <c r="H10" t="inlineStr">
        <is>
          <t xml:space="preserve">    -     </t>
        </is>
      </c>
      <c r="I10" t="inlineStr">
        <is>
          <t>VERZENIOS</t>
        </is>
      </c>
      <c r="J10" t="inlineStr">
        <is>
          <t>200 MG COM REV CT BL AL AL X 30</t>
        </is>
      </c>
      <c r="K10" t="inlineStr">
        <is>
          <t>L1H - INIBIDORES DE PROTEINA QUINASE</t>
        </is>
      </c>
      <c r="L10" t="inlineStr">
        <is>
          <t>Novo</t>
        </is>
      </c>
      <c r="M10" t="inlineStr">
        <is>
          <t>Regulado</t>
        </is>
      </c>
      <c r="N10" t="inlineStr">
        <is>
          <t>10104,23</t>
        </is>
      </c>
      <c r="O10" t="inlineStr">
        <is>
          <t>11316,74</t>
        </is>
      </c>
      <c r="P10" t="inlineStr">
        <is>
          <t>12859,94</t>
        </is>
      </c>
      <c r="Q10" t="inlineStr">
        <is>
          <t>11482,09</t>
        </is>
      </c>
      <c r="R10" t="inlineStr">
        <is>
          <t>13634,62</t>
        </is>
      </c>
      <c r="S10" t="inlineStr">
        <is>
          <t>12173,77</t>
        </is>
      </c>
      <c r="T10" t="inlineStr">
        <is>
          <t>13717,26</t>
        </is>
      </c>
      <c r="U10" t="inlineStr">
        <is>
          <t>12247,55</t>
        </is>
      </c>
      <c r="V10" t="inlineStr">
        <is>
          <t>13800,90</t>
        </is>
      </c>
      <c r="W10" t="inlineStr">
        <is>
          <t>12322,23</t>
        </is>
      </c>
      <c r="X10" t="inlineStr">
        <is>
          <t>13971,29</t>
        </is>
      </c>
      <c r="Y10" t="inlineStr">
        <is>
          <t>12474,35</t>
        </is>
      </c>
      <c r="Z10" t="inlineStr">
        <is>
          <t>14058,06</t>
        </is>
      </c>
      <c r="AA10" t="inlineStr">
        <is>
          <t>12551,84</t>
        </is>
      </c>
      <c r="AB10" t="inlineStr">
        <is>
          <t>14145,93</t>
        </is>
      </c>
      <c r="AC10" t="inlineStr">
        <is>
          <t>12630,29</t>
        </is>
      </c>
      <c r="AD10" t="inlineStr">
        <is>
          <t>14234,90</t>
        </is>
      </c>
      <c r="AE10" t="inlineStr">
        <is>
          <t>12709,72</t>
        </is>
      </c>
      <c r="AF10" t="inlineStr">
        <is>
          <t>14324,99</t>
        </is>
      </c>
      <c r="AG10" t="inlineStr">
        <is>
          <t>12790,17</t>
        </is>
      </c>
      <c r="AH10" t="inlineStr">
        <is>
          <t>14508,64</t>
        </is>
      </c>
      <c r="AI10" t="inlineStr">
        <is>
          <t>12954,14</t>
        </is>
      </c>
      <c r="AJ10" t="inlineStr">
        <is>
          <t>14602,25</t>
        </is>
      </c>
      <c r="AK10" t="inlineStr">
        <is>
          <t>13037,71</t>
        </is>
      </c>
      <c r="AL10" t="inlineStr">
        <is>
          <t>14697,06</t>
        </is>
      </c>
      <c r="AM10" t="inlineStr">
        <is>
          <t>13122,37</t>
        </is>
      </c>
      <c r="AN10">
        <f>ROUND(N10*(1-0.1979),2)</f>
        <v/>
      </c>
      <c r="AO10">
        <f>ROUND(O10*(1-0.1979),2)</f>
        <v/>
      </c>
      <c r="AP10">
        <f>ROUND(P10*(1-0.1979),2)</f>
        <v/>
      </c>
      <c r="AQ10">
        <f>ROUND(Q10*(1-0.1979),2)</f>
        <v/>
      </c>
      <c r="AR10">
        <f>ROUND(R10*(1-0.1979),2)</f>
        <v/>
      </c>
      <c r="AS10">
        <f>ROUND(S10*(1-0.1979),2)</f>
        <v/>
      </c>
      <c r="AT10">
        <f>ROUND(T10*(1-0.1979),2)</f>
        <v/>
      </c>
      <c r="AU10">
        <f>ROUND(U10*(1-0.1979),2)</f>
        <v/>
      </c>
      <c r="AV10">
        <f>ROUND(V10*(1-0.1979),2)</f>
        <v/>
      </c>
      <c r="AW10">
        <f>ROUND(W10*(1-0.1979),2)</f>
        <v/>
      </c>
      <c r="AX10">
        <f>ROUND(X10*(1-0.1979),2)</f>
        <v/>
      </c>
      <c r="AY10">
        <f>ROUND(Y10*(1-0.1979),2)</f>
        <v/>
      </c>
      <c r="AZ10">
        <f>ROUND(Z10*(1-0.1979),2)</f>
        <v/>
      </c>
      <c r="BA10">
        <f>ROUND(AA10*(1-0.1979),2)</f>
        <v/>
      </c>
      <c r="BB10">
        <f>ROUND(AB10*(1-0.1979),2)</f>
        <v/>
      </c>
      <c r="BC10">
        <f>ROUND(AC10*(1-0.1979),2)</f>
        <v/>
      </c>
      <c r="BD10">
        <f>ROUND(AD10*(1-0.1979),2)</f>
        <v/>
      </c>
      <c r="BE10">
        <f>ROUND(AE10*(1-0.1979),2)</f>
        <v/>
      </c>
      <c r="BF10">
        <f>ROUND(AF10*(1-0.1979),2)</f>
        <v/>
      </c>
      <c r="BG10">
        <f>ROUND(AG10*(1-0.1979),2)</f>
        <v/>
      </c>
      <c r="BH10">
        <f>ROUND(AH10*(1-0.1979),2)</f>
        <v/>
      </c>
      <c r="BI10">
        <f>ROUND(AI10*(1-0.1979),2)</f>
        <v/>
      </c>
      <c r="BJ10">
        <f>ROUND(AJ10*(1-0.1979),2)</f>
        <v/>
      </c>
      <c r="BK10">
        <f>ROUND(AK10*(1-0.1979),2)</f>
        <v/>
      </c>
      <c r="BL10">
        <f>ROUND(AL10*(1-0.1979),2)</f>
        <v/>
      </c>
      <c r="BM10">
        <f>ROUND(AM10*(1-0.1979),2)</f>
        <v/>
      </c>
      <c r="BN10" t="inlineStr">
        <is>
          <t>Não</t>
        </is>
      </c>
      <c r="BO10" t="inlineStr">
        <is>
          <t>Não</t>
        </is>
      </c>
      <c r="BP10" t="inlineStr">
        <is>
          <t>Não</t>
        </is>
      </c>
      <c r="BR10" t="inlineStr">
        <is>
          <t>Negativa</t>
        </is>
      </c>
      <c r="BS10" t="inlineStr">
        <is>
          <t>Sim</t>
        </is>
      </c>
      <c r="BT10" t="inlineStr">
        <is>
          <t>Tarja Vermelha</t>
        </is>
      </c>
      <c r="BU10" t="inlineStr">
        <is>
          <t>Não</t>
        </is>
      </c>
      <c r="BW10" t="inlineStr">
        <is>
          <t>Sim</t>
        </is>
      </c>
      <c r="BX10" t="inlineStr">
        <is>
          <t>ABEMACICLIBE 200 MG</t>
        </is>
      </c>
      <c r="BY10" t="inlineStr">
        <is>
          <t>Substância: nome da substância idêntico (ignorando acentos, espaços e hidratação). Concentração: concentração idêntica.</t>
        </is>
      </c>
    </row>
    <row r="11">
      <c r="A11" t="inlineStr">
        <is>
          <t>ABEMACICLIBE</t>
        </is>
      </c>
      <c r="B11" t="inlineStr">
        <is>
          <t>43.940.618/0001-44</t>
        </is>
      </c>
      <c r="C11" t="inlineStr">
        <is>
          <t>ELI LILLY DO BRASIL LTDA</t>
        </is>
      </c>
      <c r="D11" t="inlineStr">
        <is>
          <t>507619060022602</t>
        </is>
      </c>
      <c r="E11" t="inlineStr">
        <is>
          <t>1126001990085</t>
        </is>
      </c>
      <c r="F11" t="inlineStr">
        <is>
          <t>7896382708510</t>
        </is>
      </c>
      <c r="G11" t="inlineStr">
        <is>
          <t xml:space="preserve">    -     </t>
        </is>
      </c>
      <c r="H11" t="inlineStr">
        <is>
          <t xml:space="preserve">    -     </t>
        </is>
      </c>
      <c r="I11" t="inlineStr">
        <is>
          <t>VERZENIOS</t>
        </is>
      </c>
      <c r="J11" t="inlineStr">
        <is>
          <t>200 MG COM REV CT BL AL AL X 60</t>
        </is>
      </c>
      <c r="K11" t="inlineStr">
        <is>
          <t>L1H - INIBIDORES DE PROTEINA QUINASE</t>
        </is>
      </c>
      <c r="L11" t="inlineStr">
        <is>
          <t>Novo</t>
        </is>
      </c>
      <c r="M11" t="inlineStr">
        <is>
          <t>Regulado</t>
        </is>
      </c>
      <c r="N11" t="inlineStr">
        <is>
          <t>20208,45</t>
        </is>
      </c>
      <c r="O11" t="inlineStr">
        <is>
          <t>22633,47</t>
        </is>
      </c>
      <c r="P11" t="inlineStr">
        <is>
          <t>25719,86</t>
        </is>
      </c>
      <c r="Q11" t="inlineStr">
        <is>
          <t>22964,17</t>
        </is>
      </c>
      <c r="R11" t="inlineStr">
        <is>
          <t>27269,23</t>
        </is>
      </c>
      <c r="S11" t="inlineStr">
        <is>
          <t>24347,53</t>
        </is>
      </c>
      <c r="T11" t="inlineStr">
        <is>
          <t>27434,50</t>
        </is>
      </c>
      <c r="U11" t="inlineStr">
        <is>
          <t>24495,10</t>
        </is>
      </c>
      <c r="V11" t="inlineStr">
        <is>
          <t>27601,79</t>
        </is>
      </c>
      <c r="W11" t="inlineStr">
        <is>
          <t>24644,45</t>
        </is>
      </c>
      <c r="X11" t="inlineStr">
        <is>
          <t>27942,56</t>
        </is>
      </c>
      <c r="Y11" t="inlineStr">
        <is>
          <t>24948,69</t>
        </is>
      </c>
      <c r="Z11" t="inlineStr">
        <is>
          <t>28116,11</t>
        </is>
      </c>
      <c r="AA11" t="inlineStr">
        <is>
          <t>25103,66</t>
        </is>
      </c>
      <c r="AB11" t="inlineStr">
        <is>
          <t>28291,84</t>
        </is>
      </c>
      <c r="AC11" t="inlineStr">
        <is>
          <t>25260,56</t>
        </is>
      </c>
      <c r="AD11" t="inlineStr">
        <is>
          <t>28469,78</t>
        </is>
      </c>
      <c r="AE11" t="inlineStr">
        <is>
          <t>25419,42</t>
        </is>
      </c>
      <c r="AF11" t="inlineStr">
        <is>
          <t>28649,97</t>
        </is>
      </c>
      <c r="AG11" t="inlineStr">
        <is>
          <t>25580,33</t>
        </is>
      </c>
      <c r="AH11" t="inlineStr">
        <is>
          <t>29017,26</t>
        </is>
      </c>
      <c r="AI11" t="inlineStr">
        <is>
          <t>25908,26</t>
        </is>
      </c>
      <c r="AJ11" t="inlineStr">
        <is>
          <t>29204,49</t>
        </is>
      </c>
      <c r="AK11" t="inlineStr">
        <is>
          <t>26075,41</t>
        </is>
      </c>
      <c r="AL11" t="inlineStr">
        <is>
          <t>29394,11</t>
        </is>
      </c>
      <c r="AM11" t="inlineStr">
        <is>
          <t>26244,73</t>
        </is>
      </c>
      <c r="AN11">
        <f>ROUND(N11*(1-0.1979),2)</f>
        <v/>
      </c>
      <c r="AO11">
        <f>ROUND(O11*(1-0.1979),2)</f>
        <v/>
      </c>
      <c r="AP11">
        <f>ROUND(P11*(1-0.1979),2)</f>
        <v/>
      </c>
      <c r="AQ11">
        <f>ROUND(Q11*(1-0.1979),2)</f>
        <v/>
      </c>
      <c r="AR11">
        <f>ROUND(R11*(1-0.1979),2)</f>
        <v/>
      </c>
      <c r="AS11">
        <f>ROUND(S11*(1-0.1979),2)</f>
        <v/>
      </c>
      <c r="AT11">
        <f>ROUND(T11*(1-0.1979),2)</f>
        <v/>
      </c>
      <c r="AU11">
        <f>ROUND(U11*(1-0.1979),2)</f>
        <v/>
      </c>
      <c r="AV11">
        <f>ROUND(V11*(1-0.1979),2)</f>
        <v/>
      </c>
      <c r="AW11">
        <f>ROUND(W11*(1-0.1979),2)</f>
        <v/>
      </c>
      <c r="AX11">
        <f>ROUND(X11*(1-0.1979),2)</f>
        <v/>
      </c>
      <c r="AY11">
        <f>ROUND(Y11*(1-0.1979),2)</f>
        <v/>
      </c>
      <c r="AZ11">
        <f>ROUND(Z11*(1-0.1979),2)</f>
        <v/>
      </c>
      <c r="BA11">
        <f>ROUND(AA11*(1-0.1979),2)</f>
        <v/>
      </c>
      <c r="BB11">
        <f>ROUND(AB11*(1-0.1979),2)</f>
        <v/>
      </c>
      <c r="BC11">
        <f>ROUND(AC11*(1-0.1979),2)</f>
        <v/>
      </c>
      <c r="BD11">
        <f>ROUND(AD11*(1-0.1979),2)</f>
        <v/>
      </c>
      <c r="BE11">
        <f>ROUND(AE11*(1-0.1979),2)</f>
        <v/>
      </c>
      <c r="BF11">
        <f>ROUND(AF11*(1-0.1979),2)</f>
        <v/>
      </c>
      <c r="BG11">
        <f>ROUND(AG11*(1-0.1979),2)</f>
        <v/>
      </c>
      <c r="BH11">
        <f>ROUND(AH11*(1-0.1979),2)</f>
        <v/>
      </c>
      <c r="BI11">
        <f>ROUND(AI11*(1-0.1979),2)</f>
        <v/>
      </c>
      <c r="BJ11">
        <f>ROUND(AJ11*(1-0.1979),2)</f>
        <v/>
      </c>
      <c r="BK11">
        <f>ROUND(AK11*(1-0.1979),2)</f>
        <v/>
      </c>
      <c r="BL11">
        <f>ROUND(AL11*(1-0.1979),2)</f>
        <v/>
      </c>
      <c r="BM11">
        <f>ROUND(AM11*(1-0.1979),2)</f>
        <v/>
      </c>
      <c r="BN11" t="inlineStr">
        <is>
          <t>Não</t>
        </is>
      </c>
      <c r="BO11" t="inlineStr">
        <is>
          <t>Não</t>
        </is>
      </c>
      <c r="BP11" t="inlineStr">
        <is>
          <t>Não</t>
        </is>
      </c>
      <c r="BR11" t="inlineStr">
        <is>
          <t>Negativa</t>
        </is>
      </c>
      <c r="BS11" t="inlineStr">
        <is>
          <t>Sim</t>
        </is>
      </c>
      <c r="BT11" t="inlineStr">
        <is>
          <t>Tarja Vermelha</t>
        </is>
      </c>
      <c r="BU11" t="inlineStr">
        <is>
          <t>Não</t>
        </is>
      </c>
      <c r="BW11" t="inlineStr">
        <is>
          <t>Sim</t>
        </is>
      </c>
      <c r="BX11" t="inlineStr">
        <is>
          <t>ABEMACICLIBE 200 MG</t>
        </is>
      </c>
      <c r="BY11" t="inlineStr">
        <is>
          <t>Substância: nome da substância idêntico (ignorando acentos, espaços e hidratação). Concentração: concentração idêntica.</t>
        </is>
      </c>
    </row>
    <row r="12">
      <c r="A12" t="inlineStr">
        <is>
          <t>ABROCITINIBE</t>
        </is>
      </c>
      <c r="B12" t="inlineStr">
        <is>
          <t>61.072.393/0001-33</t>
        </is>
      </c>
      <c r="C12" t="inlineStr">
        <is>
          <t>PFIZER BRASIL LTDA</t>
        </is>
      </c>
      <c r="D12" t="inlineStr">
        <is>
          <t>522723100092502</t>
        </is>
      </c>
      <c r="E12" t="inlineStr">
        <is>
          <t>1211004910013</t>
        </is>
      </c>
      <c r="F12" t="inlineStr">
        <is>
          <t>7891045164542</t>
        </is>
      </c>
      <c r="G12" t="inlineStr">
        <is>
          <t xml:space="preserve">    -     </t>
        </is>
      </c>
      <c r="H12" t="inlineStr">
        <is>
          <t xml:space="preserve">    -     </t>
        </is>
      </c>
      <c r="I12" t="inlineStr">
        <is>
          <t>CIBINQO</t>
        </is>
      </c>
      <c r="J12" t="inlineStr">
        <is>
          <t>50 MG COM REV CT FR PLAS PEAD OPC X 30</t>
        </is>
      </c>
      <c r="K12" t="inlineStr">
        <is>
          <t>D5X - OUTROS PRODUTOS ANTI-INFLAMATÓRIOS NÃO ESTEROIDAIS DERMATOLÓGICOS</t>
        </is>
      </c>
      <c r="L12" t="inlineStr">
        <is>
          <t>Novo</t>
        </is>
      </c>
      <c r="M12" t="inlineStr">
        <is>
          <t>Regulado</t>
        </is>
      </c>
      <c r="N12" t="inlineStr">
        <is>
          <t>2215,02</t>
        </is>
      </c>
      <c r="O12" t="inlineStr">
        <is>
          <t>2480,82</t>
        </is>
      </c>
      <c r="P12" t="inlineStr">
        <is>
          <t>2819,11</t>
        </is>
      </c>
      <c r="Q12" t="inlineStr">
        <is>
          <t>2517,07</t>
        </is>
      </c>
      <c r="R12" t="inlineStr">
        <is>
          <t>2988,94</t>
        </is>
      </c>
      <c r="S12" t="inlineStr">
        <is>
          <t>2668,69</t>
        </is>
      </c>
      <c r="T12" t="inlineStr">
        <is>
          <t>3007,05</t>
        </is>
      </c>
      <c r="U12" t="inlineStr">
        <is>
          <t>2684,87</t>
        </is>
      </c>
      <c r="V12" t="inlineStr">
        <is>
          <t>3025,39</t>
        </is>
      </c>
      <c r="W12" t="inlineStr">
        <is>
          <t>2701,24</t>
        </is>
      </c>
      <c r="X12" t="inlineStr">
        <is>
          <t>3062,74</t>
        </is>
      </c>
      <c r="Y12" t="inlineStr">
        <is>
          <t>2734,59</t>
        </is>
      </c>
      <c r="Z12" t="inlineStr">
        <is>
          <t>3081,76</t>
        </is>
      </c>
      <c r="AA12" t="inlineStr">
        <is>
          <t>2751,57</t>
        </is>
      </c>
      <c r="AB12" t="inlineStr">
        <is>
          <t>3101,03</t>
        </is>
      </c>
      <c r="AC12" t="inlineStr">
        <is>
          <t>2768,77</t>
        </is>
      </c>
      <c r="AD12" t="inlineStr">
        <is>
          <t>3120,53</t>
        </is>
      </c>
      <c r="AE12" t="inlineStr">
        <is>
          <t>2786,18</t>
        </is>
      </c>
      <c r="AF12" t="inlineStr">
        <is>
          <t>3140,28</t>
        </is>
      </c>
      <c r="AG12" t="inlineStr">
        <is>
          <t>2803,82</t>
        </is>
      </c>
      <c r="AH12" t="inlineStr">
        <is>
          <t>3180,54</t>
        </is>
      </c>
      <c r="AI12" t="inlineStr">
        <is>
          <t>2839,76</t>
        </is>
      </c>
      <c r="AJ12" t="inlineStr">
        <is>
          <t>3201,06</t>
        </is>
      </c>
      <c r="AK12" t="inlineStr">
        <is>
          <t>2858,09</t>
        </is>
      </c>
      <c r="AL12" t="inlineStr">
        <is>
          <t>3221,84</t>
        </is>
      </c>
      <c r="AM12" t="inlineStr">
        <is>
          <t>2876,64</t>
        </is>
      </c>
      <c r="AN12">
        <f>ROUND(N12*(1-0.1979),2)</f>
        <v/>
      </c>
      <c r="AO12">
        <f>ROUND(O12*(1-0.1979),2)</f>
        <v/>
      </c>
      <c r="AP12">
        <f>ROUND(P12*(1-0.1979),2)</f>
        <v/>
      </c>
      <c r="AQ12">
        <f>ROUND(Q12*(1-0.1979),2)</f>
        <v/>
      </c>
      <c r="AR12">
        <f>ROUND(R12*(1-0.1979),2)</f>
        <v/>
      </c>
      <c r="AS12">
        <f>ROUND(S12*(1-0.1979),2)</f>
        <v/>
      </c>
      <c r="AT12">
        <f>ROUND(T12*(1-0.1979),2)</f>
        <v/>
      </c>
      <c r="AU12">
        <f>ROUND(U12*(1-0.1979),2)</f>
        <v/>
      </c>
      <c r="AV12">
        <f>ROUND(V12*(1-0.1979),2)</f>
        <v/>
      </c>
      <c r="AW12">
        <f>ROUND(W12*(1-0.1979),2)</f>
        <v/>
      </c>
      <c r="AX12">
        <f>ROUND(X12*(1-0.1979),2)</f>
        <v/>
      </c>
      <c r="AY12">
        <f>ROUND(Y12*(1-0.1979),2)</f>
        <v/>
      </c>
      <c r="AZ12">
        <f>ROUND(Z12*(1-0.1979),2)</f>
        <v/>
      </c>
      <c r="BA12">
        <f>ROUND(AA12*(1-0.1979),2)</f>
        <v/>
      </c>
      <c r="BB12">
        <f>ROUND(AB12*(1-0.1979),2)</f>
        <v/>
      </c>
      <c r="BC12">
        <f>ROUND(AC12*(1-0.1979),2)</f>
        <v/>
      </c>
      <c r="BD12">
        <f>ROUND(AD12*(1-0.1979),2)</f>
        <v/>
      </c>
      <c r="BE12">
        <f>ROUND(AE12*(1-0.1979),2)</f>
        <v/>
      </c>
      <c r="BF12">
        <f>ROUND(AF12*(1-0.1979),2)</f>
        <v/>
      </c>
      <c r="BG12">
        <f>ROUND(AG12*(1-0.1979),2)</f>
        <v/>
      </c>
      <c r="BH12">
        <f>ROUND(AH12*(1-0.1979),2)</f>
        <v/>
      </c>
      <c r="BI12">
        <f>ROUND(AI12*(1-0.1979),2)</f>
        <v/>
      </c>
      <c r="BJ12">
        <f>ROUND(AJ12*(1-0.1979),2)</f>
        <v/>
      </c>
      <c r="BK12">
        <f>ROUND(AK12*(1-0.1979),2)</f>
        <v/>
      </c>
      <c r="BL12">
        <f>ROUND(AL12*(1-0.1979),2)</f>
        <v/>
      </c>
      <c r="BM12">
        <f>ROUND(AM12*(1-0.1979),2)</f>
        <v/>
      </c>
      <c r="BN12" t="inlineStr">
        <is>
          <t>Não</t>
        </is>
      </c>
      <c r="BO12" t="inlineStr">
        <is>
          <t>Não</t>
        </is>
      </c>
      <c r="BP12" t="inlineStr">
        <is>
          <t>Não</t>
        </is>
      </c>
      <c r="BR12" t="inlineStr">
        <is>
          <t>Negativa</t>
        </is>
      </c>
      <c r="BS12" t="inlineStr">
        <is>
          <t>Sim</t>
        </is>
      </c>
      <c r="BT12" t="inlineStr">
        <is>
          <t>Tarja Vermelha</t>
        </is>
      </c>
      <c r="BU12" t="inlineStr">
        <is>
          <t>Não</t>
        </is>
      </c>
      <c r="BW12" t="inlineStr">
        <is>
          <t>Sim</t>
        </is>
      </c>
      <c r="BX12" t="inlineStr">
        <is>
          <t>ABROCITINIBE 50 MG</t>
        </is>
      </c>
      <c r="BY12" t="inlineStr">
        <is>
          <t>Substância: nome da substância idêntico (ignorando acentos, espaços e hidratação). Concentração: concentração idêntica.</t>
        </is>
      </c>
    </row>
    <row r="13">
      <c r="A13" t="inlineStr">
        <is>
          <t>ABROCITINIBE</t>
        </is>
      </c>
      <c r="B13" t="inlineStr">
        <is>
          <t>61.072.393/0001-33</t>
        </is>
      </c>
      <c r="C13" t="inlineStr">
        <is>
          <t>PFIZER BRASIL LTDA</t>
        </is>
      </c>
      <c r="D13" t="inlineStr">
        <is>
          <t>522723100092602</t>
        </is>
      </c>
      <c r="E13" t="inlineStr">
        <is>
          <t>1211004910021</t>
        </is>
      </c>
      <c r="F13" t="inlineStr">
        <is>
          <t>7891045164559</t>
        </is>
      </c>
      <c r="G13" t="inlineStr">
        <is>
          <t xml:space="preserve">    -     </t>
        </is>
      </c>
      <c r="H13" t="inlineStr">
        <is>
          <t xml:space="preserve">    -     </t>
        </is>
      </c>
      <c r="I13" t="inlineStr">
        <is>
          <t>CIBINQO</t>
        </is>
      </c>
      <c r="J13" t="inlineStr">
        <is>
          <t>100 MG COM REV CT FR PLAS PEAD OPC X 30</t>
        </is>
      </c>
      <c r="K13" t="inlineStr">
        <is>
          <t>D5X - OUTROS PRODUTOS ANTI-INFLAMATÓRIOS NÃO ESTEROIDAIS DERMATOLÓGICOS</t>
        </is>
      </c>
      <c r="L13" t="inlineStr">
        <is>
          <t>Novo</t>
        </is>
      </c>
      <c r="M13" t="inlineStr">
        <is>
          <t>Regulado</t>
        </is>
      </c>
      <c r="N13" t="inlineStr">
        <is>
          <t>4430,04</t>
        </is>
      </c>
      <c r="O13" t="inlineStr">
        <is>
          <t>4961,65</t>
        </is>
      </c>
      <c r="P13" t="inlineStr">
        <is>
          <t>5638,24</t>
        </is>
      </c>
      <c r="Q13" t="inlineStr">
        <is>
          <t>5034,14</t>
        </is>
      </c>
      <c r="R13" t="inlineStr">
        <is>
          <t>5977,89</t>
        </is>
      </c>
      <c r="S13" t="inlineStr">
        <is>
          <t>5337,40</t>
        </is>
      </c>
      <c r="T13" t="inlineStr">
        <is>
          <t>6014,12</t>
        </is>
      </c>
      <c r="U13" t="inlineStr">
        <is>
          <t>5369,75</t>
        </is>
      </c>
      <c r="V13" t="inlineStr">
        <is>
          <t>6050,79</t>
        </is>
      </c>
      <c r="W13" t="inlineStr">
        <is>
          <t>5402,49</t>
        </is>
      </c>
      <c r="X13" t="inlineStr">
        <is>
          <t>6125,49</t>
        </is>
      </c>
      <c r="Y13" t="inlineStr">
        <is>
          <t>5469,19</t>
        </is>
      </c>
      <c r="Z13" t="inlineStr">
        <is>
          <t>6163,54</t>
        </is>
      </c>
      <c r="AA13" t="inlineStr">
        <is>
          <t>5503,16</t>
        </is>
      </c>
      <c r="AB13" t="inlineStr">
        <is>
          <t>6202,06</t>
        </is>
      </c>
      <c r="AC13" t="inlineStr">
        <is>
          <t>5537,55</t>
        </is>
      </c>
      <c r="AD13" t="inlineStr">
        <is>
          <t>6241,07</t>
        </is>
      </c>
      <c r="AE13" t="inlineStr">
        <is>
          <t>5572,38</t>
        </is>
      </c>
      <c r="AF13" t="inlineStr">
        <is>
          <t>6280,57</t>
        </is>
      </c>
      <c r="AG13" t="inlineStr">
        <is>
          <t>5607,65</t>
        </is>
      </c>
      <c r="AH13" t="inlineStr">
        <is>
          <t>6361,09</t>
        </is>
      </c>
      <c r="AI13" t="inlineStr">
        <is>
          <t>5679,54</t>
        </is>
      </c>
      <c r="AJ13" t="inlineStr">
        <is>
          <t>6402,13</t>
        </is>
      </c>
      <c r="AK13" t="inlineStr">
        <is>
          <t>5716,18</t>
        </is>
      </c>
      <c r="AL13" t="inlineStr">
        <is>
          <t>6443,70</t>
        </is>
      </c>
      <c r="AM13" t="inlineStr">
        <is>
          <t>5753,30</t>
        </is>
      </c>
      <c r="AN13">
        <f>ROUND(N13*(1-0.1979),2)</f>
        <v/>
      </c>
      <c r="AO13">
        <f>ROUND(O13*(1-0.1979),2)</f>
        <v/>
      </c>
      <c r="AP13">
        <f>ROUND(P13*(1-0.1979),2)</f>
        <v/>
      </c>
      <c r="AQ13">
        <f>ROUND(Q13*(1-0.1979),2)</f>
        <v/>
      </c>
      <c r="AR13">
        <f>ROUND(R13*(1-0.1979),2)</f>
        <v/>
      </c>
      <c r="AS13">
        <f>ROUND(S13*(1-0.1979),2)</f>
        <v/>
      </c>
      <c r="AT13">
        <f>ROUND(T13*(1-0.1979),2)</f>
        <v/>
      </c>
      <c r="AU13">
        <f>ROUND(U13*(1-0.1979),2)</f>
        <v/>
      </c>
      <c r="AV13">
        <f>ROUND(V13*(1-0.1979),2)</f>
        <v/>
      </c>
      <c r="AW13">
        <f>ROUND(W13*(1-0.1979),2)</f>
        <v/>
      </c>
      <c r="AX13">
        <f>ROUND(X13*(1-0.1979),2)</f>
        <v/>
      </c>
      <c r="AY13">
        <f>ROUND(Y13*(1-0.1979),2)</f>
        <v/>
      </c>
      <c r="AZ13">
        <f>ROUND(Z13*(1-0.1979),2)</f>
        <v/>
      </c>
      <c r="BA13">
        <f>ROUND(AA13*(1-0.1979),2)</f>
        <v/>
      </c>
      <c r="BB13">
        <f>ROUND(AB13*(1-0.1979),2)</f>
        <v/>
      </c>
      <c r="BC13">
        <f>ROUND(AC13*(1-0.1979),2)</f>
        <v/>
      </c>
      <c r="BD13">
        <f>ROUND(AD13*(1-0.1979),2)</f>
        <v/>
      </c>
      <c r="BE13">
        <f>ROUND(AE13*(1-0.1979),2)</f>
        <v/>
      </c>
      <c r="BF13">
        <f>ROUND(AF13*(1-0.1979),2)</f>
        <v/>
      </c>
      <c r="BG13">
        <f>ROUND(AG13*(1-0.1979),2)</f>
        <v/>
      </c>
      <c r="BH13">
        <f>ROUND(AH13*(1-0.1979),2)</f>
        <v/>
      </c>
      <c r="BI13">
        <f>ROUND(AI13*(1-0.1979),2)</f>
        <v/>
      </c>
      <c r="BJ13">
        <f>ROUND(AJ13*(1-0.1979),2)</f>
        <v/>
      </c>
      <c r="BK13">
        <f>ROUND(AK13*(1-0.1979),2)</f>
        <v/>
      </c>
      <c r="BL13">
        <f>ROUND(AL13*(1-0.1979),2)</f>
        <v/>
      </c>
      <c r="BM13">
        <f>ROUND(AM13*(1-0.1979),2)</f>
        <v/>
      </c>
      <c r="BN13" t="inlineStr">
        <is>
          <t>Não</t>
        </is>
      </c>
      <c r="BO13" t="inlineStr">
        <is>
          <t>Não</t>
        </is>
      </c>
      <c r="BP13" t="inlineStr">
        <is>
          <t>Não</t>
        </is>
      </c>
      <c r="BR13" t="inlineStr">
        <is>
          <t>Negativa</t>
        </is>
      </c>
      <c r="BS13" t="inlineStr">
        <is>
          <t>Sim</t>
        </is>
      </c>
      <c r="BT13" t="inlineStr">
        <is>
          <t>Tarja Vermelha</t>
        </is>
      </c>
      <c r="BU13" t="inlineStr">
        <is>
          <t>Não</t>
        </is>
      </c>
      <c r="BW13" t="inlineStr">
        <is>
          <t>Sim</t>
        </is>
      </c>
      <c r="BX13" t="inlineStr">
        <is>
          <t>ABROCITINIBE 100 MG</t>
        </is>
      </c>
      <c r="BY13" t="inlineStr">
        <is>
          <t>Substância: nome da substância idêntico (ignorando acentos, espaços e hidratação). Concentração: concentração idêntica.</t>
        </is>
      </c>
    </row>
    <row r="14">
      <c r="A14" t="inlineStr">
        <is>
          <t>ABROCITINIBE</t>
        </is>
      </c>
      <c r="B14" t="inlineStr">
        <is>
          <t>61.072.393/0001-33</t>
        </is>
      </c>
      <c r="C14" t="inlineStr">
        <is>
          <t>PFIZER BRASIL LTDA</t>
        </is>
      </c>
      <c r="D14" t="inlineStr">
        <is>
          <t>522723100092702</t>
        </is>
      </c>
      <c r="E14" t="inlineStr">
        <is>
          <t>1211004910031</t>
        </is>
      </c>
      <c r="F14" t="inlineStr">
        <is>
          <t>7891045164566</t>
        </is>
      </c>
      <c r="G14" t="inlineStr">
        <is>
          <t xml:space="preserve">    -     </t>
        </is>
      </c>
      <c r="H14" t="inlineStr">
        <is>
          <t xml:space="preserve">    -     </t>
        </is>
      </c>
      <c r="I14" t="inlineStr">
        <is>
          <t>CIBINQO</t>
        </is>
      </c>
      <c r="J14" t="inlineStr">
        <is>
          <t>200 MG COM REV CT FR PLAS PEAD OPC X 30</t>
        </is>
      </c>
      <c r="K14" t="inlineStr">
        <is>
          <t>D5X - OUTROS PRODUTOS ANTI-INFLAMATÓRIOS NÃO ESTEROIDAIS DERMATOLÓGICOS</t>
        </is>
      </c>
      <c r="L14" t="inlineStr">
        <is>
          <t>Novo</t>
        </is>
      </c>
      <c r="M14" t="inlineStr">
        <is>
          <t>Regulado</t>
        </is>
      </c>
      <c r="N14" t="inlineStr">
        <is>
          <t>6399,23</t>
        </is>
      </c>
      <c r="O14" t="inlineStr">
        <is>
          <t>7167,14</t>
        </is>
      </c>
      <c r="P14" t="inlineStr">
        <is>
          <t>8144,48</t>
        </is>
      </c>
      <c r="Q14" t="inlineStr">
        <is>
          <t>7271,86</t>
        </is>
      </c>
      <c r="R14" t="inlineStr">
        <is>
          <t>8635,11</t>
        </is>
      </c>
      <c r="S14" t="inlineStr">
        <is>
          <t>7709,91</t>
        </is>
      </c>
      <c r="T14" t="inlineStr">
        <is>
          <t>8687,44</t>
        </is>
      </c>
      <c r="U14" t="inlineStr">
        <is>
          <t>7756,64</t>
        </is>
      </c>
      <c r="V14" t="inlineStr">
        <is>
          <t>8740,41</t>
        </is>
      </c>
      <c r="W14" t="inlineStr">
        <is>
          <t>7803,94</t>
        </is>
      </c>
      <c r="X14" t="inlineStr">
        <is>
          <t>8848,32</t>
        </is>
      </c>
      <c r="Y14" t="inlineStr">
        <is>
          <t>7900,28</t>
        </is>
      </c>
      <c r="Z14" t="inlineStr">
        <is>
          <t>8903,28</t>
        </is>
      </c>
      <c r="AA14" t="inlineStr">
        <is>
          <t>7949,35</t>
        </is>
      </c>
      <c r="AB14" t="inlineStr">
        <is>
          <t>8958,93</t>
        </is>
      </c>
      <c r="AC14" t="inlineStr">
        <is>
          <t>7999,04</t>
        </is>
      </c>
      <c r="AD14" t="inlineStr">
        <is>
          <t>9015,27</t>
        </is>
      </c>
      <c r="AE14" t="inlineStr">
        <is>
          <t>8049,34</t>
        </is>
      </c>
      <c r="AF14" t="inlineStr">
        <is>
          <t>9072,33</t>
        </is>
      </c>
      <c r="AG14" t="inlineStr">
        <is>
          <t>8100,29</t>
        </is>
      </c>
      <c r="AH14" t="inlineStr">
        <is>
          <t>9188,64</t>
        </is>
      </c>
      <c r="AI14" t="inlineStr">
        <is>
          <t>8204,14</t>
        </is>
      </c>
      <c r="AJ14" t="inlineStr">
        <is>
          <t>9247,93</t>
        </is>
      </c>
      <c r="AK14" t="inlineStr">
        <is>
          <t>8257,07</t>
        </is>
      </c>
      <c r="AL14" t="inlineStr">
        <is>
          <t>9307,97</t>
        </is>
      </c>
      <c r="AM14" t="inlineStr">
        <is>
          <t>8310,69</t>
        </is>
      </c>
      <c r="AN14">
        <f>ROUND(N14*(1-0.1979),2)</f>
        <v/>
      </c>
      <c r="AO14">
        <f>ROUND(O14*(1-0.1979),2)</f>
        <v/>
      </c>
      <c r="AP14">
        <f>ROUND(P14*(1-0.1979),2)</f>
        <v/>
      </c>
      <c r="AQ14">
        <f>ROUND(Q14*(1-0.1979),2)</f>
        <v/>
      </c>
      <c r="AR14">
        <f>ROUND(R14*(1-0.1979),2)</f>
        <v/>
      </c>
      <c r="AS14">
        <f>ROUND(S14*(1-0.1979),2)</f>
        <v/>
      </c>
      <c r="AT14">
        <f>ROUND(T14*(1-0.1979),2)</f>
        <v/>
      </c>
      <c r="AU14">
        <f>ROUND(U14*(1-0.1979),2)</f>
        <v/>
      </c>
      <c r="AV14">
        <f>ROUND(V14*(1-0.1979),2)</f>
        <v/>
      </c>
      <c r="AW14">
        <f>ROUND(W14*(1-0.1979),2)</f>
        <v/>
      </c>
      <c r="AX14">
        <f>ROUND(X14*(1-0.1979),2)</f>
        <v/>
      </c>
      <c r="AY14">
        <f>ROUND(Y14*(1-0.1979),2)</f>
        <v/>
      </c>
      <c r="AZ14">
        <f>ROUND(Z14*(1-0.1979),2)</f>
        <v/>
      </c>
      <c r="BA14">
        <f>ROUND(AA14*(1-0.1979),2)</f>
        <v/>
      </c>
      <c r="BB14">
        <f>ROUND(AB14*(1-0.1979),2)</f>
        <v/>
      </c>
      <c r="BC14">
        <f>ROUND(AC14*(1-0.1979),2)</f>
        <v/>
      </c>
      <c r="BD14">
        <f>ROUND(AD14*(1-0.1979),2)</f>
        <v/>
      </c>
      <c r="BE14">
        <f>ROUND(AE14*(1-0.1979),2)</f>
        <v/>
      </c>
      <c r="BF14">
        <f>ROUND(AF14*(1-0.1979),2)</f>
        <v/>
      </c>
      <c r="BG14">
        <f>ROUND(AG14*(1-0.1979),2)</f>
        <v/>
      </c>
      <c r="BH14">
        <f>ROUND(AH14*(1-0.1979),2)</f>
        <v/>
      </c>
      <c r="BI14">
        <f>ROUND(AI14*(1-0.1979),2)</f>
        <v/>
      </c>
      <c r="BJ14">
        <f>ROUND(AJ14*(1-0.1979),2)</f>
        <v/>
      </c>
      <c r="BK14">
        <f>ROUND(AK14*(1-0.1979),2)</f>
        <v/>
      </c>
      <c r="BL14">
        <f>ROUND(AL14*(1-0.1979),2)</f>
        <v/>
      </c>
      <c r="BM14">
        <f>ROUND(AM14*(1-0.1979),2)</f>
        <v/>
      </c>
      <c r="BN14" t="inlineStr">
        <is>
          <t>Não</t>
        </is>
      </c>
      <c r="BO14" t="inlineStr">
        <is>
          <t>Não</t>
        </is>
      </c>
      <c r="BP14" t="inlineStr">
        <is>
          <t>Não</t>
        </is>
      </c>
      <c r="BR14" t="inlineStr">
        <is>
          <t>Negativa</t>
        </is>
      </c>
      <c r="BS14" t="inlineStr">
        <is>
          <t>Sim</t>
        </is>
      </c>
      <c r="BT14" t="inlineStr">
        <is>
          <t>Tarja Vermelha</t>
        </is>
      </c>
      <c r="BU14" t="inlineStr">
        <is>
          <t>Não</t>
        </is>
      </c>
      <c r="BW14" t="inlineStr">
        <is>
          <t>Sim</t>
        </is>
      </c>
      <c r="BX14" t="inlineStr">
        <is>
          <t>ABROCITINIBE 200 MG</t>
        </is>
      </c>
      <c r="BY14" t="inlineStr">
        <is>
          <t>Substância: nome da substância idêntico (ignorando acentos, espaços e hidratação). Concentração: concentração idêntica.</t>
        </is>
      </c>
    </row>
    <row r="15">
      <c r="A15" t="inlineStr">
        <is>
          <t>ACARBOSE</t>
        </is>
      </c>
      <c r="B15" t="inlineStr">
        <is>
          <t>00.923.140/0001-31</t>
        </is>
      </c>
      <c r="C15" t="inlineStr">
        <is>
          <t>EMS SIGMA PHARMA LTDA</t>
        </is>
      </c>
      <c r="D15" t="inlineStr">
        <is>
          <t>531619040086803</t>
        </is>
      </c>
      <c r="E15" t="inlineStr">
        <is>
          <t>1356900350024</t>
        </is>
      </c>
      <c r="F15" t="inlineStr">
        <is>
          <t>7894916503754</t>
        </is>
      </c>
      <c r="G15" t="inlineStr">
        <is>
          <t>7896004771793</t>
        </is>
      </c>
      <c r="H15" t="inlineStr">
        <is>
          <t xml:space="preserve">    -     </t>
        </is>
      </c>
      <c r="I15" t="inlineStr">
        <is>
          <t>AGLUCOSE</t>
        </is>
      </c>
      <c r="J15" t="inlineStr">
        <is>
          <t>50 MG COM CT BL AL AL X 30</t>
        </is>
      </c>
      <c r="K15" t="inlineStr">
        <is>
          <t>A10L - ANTIDIABÉTICOS INIBIDORES ALFA-GLUCOSIDASE</t>
        </is>
      </c>
      <c r="L15" t="inlineStr">
        <is>
          <t>Similar</t>
        </is>
      </c>
      <c r="M15" t="inlineStr">
        <is>
          <t>Regulado</t>
        </is>
      </c>
      <c r="N15" t="inlineStr">
        <is>
          <t>26,61</t>
        </is>
      </c>
      <c r="O15" t="inlineStr">
        <is>
          <t>26,93</t>
        </is>
      </c>
      <c r="P15" t="inlineStr">
        <is>
          <t>30,60</t>
        </is>
      </c>
      <c r="Q15" t="inlineStr">
        <is>
          <t>30,24</t>
        </is>
      </c>
      <c r="R15" t="inlineStr">
        <is>
          <t>32,45</t>
        </is>
      </c>
      <c r="S15" t="inlineStr">
        <is>
          <t>32,06</t>
        </is>
      </c>
      <c r="T15" t="inlineStr">
        <is>
          <t>32,64</t>
        </is>
      </c>
      <c r="U15" t="inlineStr">
        <is>
          <t>32,25</t>
        </is>
      </c>
      <c r="V15" t="inlineStr">
        <is>
          <t>32,84</t>
        </is>
      </c>
      <c r="W15" t="inlineStr">
        <is>
          <t>32,45</t>
        </is>
      </c>
      <c r="X15" t="inlineStr">
        <is>
          <t>33,25</t>
        </is>
      </c>
      <c r="Y15" t="inlineStr">
        <is>
          <t>32,85</t>
        </is>
      </c>
      <c r="Z15" t="inlineStr">
        <is>
          <t>33,45</t>
        </is>
      </c>
      <c r="AA15" t="inlineStr">
        <is>
          <t>33,05</t>
        </is>
      </c>
      <c r="AB15" t="inlineStr">
        <is>
          <t>33,66</t>
        </is>
      </c>
      <c r="AC15" t="inlineStr">
        <is>
          <t>33,26</t>
        </is>
      </c>
      <c r="AD15" t="inlineStr">
        <is>
          <t>33,87</t>
        </is>
      </c>
      <c r="AE15" t="inlineStr">
        <is>
          <t>33,47</t>
        </is>
      </c>
      <c r="AF15" t="inlineStr">
        <is>
          <t>34,09</t>
        </is>
      </c>
      <c r="AG15" t="inlineStr">
        <is>
          <t>33,68</t>
        </is>
      </c>
      <c r="AH15" t="inlineStr">
        <is>
          <t>34,53</t>
        </is>
      </c>
      <c r="AI15" t="inlineStr">
        <is>
          <t>34,11</t>
        </is>
      </c>
      <c r="AJ15" t="inlineStr">
        <is>
          <t>34,75</t>
        </is>
      </c>
      <c r="AK15" t="inlineStr">
        <is>
          <t>34,33</t>
        </is>
      </c>
      <c r="AL15" t="inlineStr">
        <is>
          <t>34,97</t>
        </is>
      </c>
      <c r="AM15" t="inlineStr">
        <is>
          <t>34,55</t>
        </is>
      </c>
      <c r="AN15">
        <f>ROUND(N15*(1-0.1979),2)</f>
        <v/>
      </c>
      <c r="AO15">
        <f>ROUND(O15*(1-0.1979),2)</f>
        <v/>
      </c>
      <c r="AP15">
        <f>ROUND(P15*(1-0.1979),2)</f>
        <v/>
      </c>
      <c r="AQ15">
        <f>ROUND(Q15*(1-0.1979),2)</f>
        <v/>
      </c>
      <c r="AR15">
        <f>ROUND(R15*(1-0.1979),2)</f>
        <v/>
      </c>
      <c r="AS15">
        <f>ROUND(S15*(1-0.1979),2)</f>
        <v/>
      </c>
      <c r="AT15">
        <f>ROUND(T15*(1-0.1979),2)</f>
        <v/>
      </c>
      <c r="AU15">
        <f>ROUND(U15*(1-0.1979),2)</f>
        <v/>
      </c>
      <c r="AV15">
        <f>ROUND(V15*(1-0.1979),2)</f>
        <v/>
      </c>
      <c r="AW15">
        <f>ROUND(W15*(1-0.1979),2)</f>
        <v/>
      </c>
      <c r="AX15">
        <f>ROUND(X15*(1-0.1979),2)</f>
        <v/>
      </c>
      <c r="AY15">
        <f>ROUND(Y15*(1-0.1979),2)</f>
        <v/>
      </c>
      <c r="AZ15">
        <f>ROUND(Z15*(1-0.1979),2)</f>
        <v/>
      </c>
      <c r="BA15">
        <f>ROUND(AA15*(1-0.1979),2)</f>
        <v/>
      </c>
      <c r="BB15">
        <f>ROUND(AB15*(1-0.1979),2)</f>
        <v/>
      </c>
      <c r="BC15">
        <f>ROUND(AC15*(1-0.1979),2)</f>
        <v/>
      </c>
      <c r="BD15">
        <f>ROUND(AD15*(1-0.1979),2)</f>
        <v/>
      </c>
      <c r="BE15">
        <f>ROUND(AE15*(1-0.1979),2)</f>
        <v/>
      </c>
      <c r="BF15">
        <f>ROUND(AF15*(1-0.1979),2)</f>
        <v/>
      </c>
      <c r="BG15">
        <f>ROUND(AG15*(1-0.1979),2)</f>
        <v/>
      </c>
      <c r="BH15">
        <f>ROUND(AH15*(1-0.1979),2)</f>
        <v/>
      </c>
      <c r="BI15">
        <f>ROUND(AI15*(1-0.1979),2)</f>
        <v/>
      </c>
      <c r="BJ15">
        <f>ROUND(AJ15*(1-0.1979),2)</f>
        <v/>
      </c>
      <c r="BK15">
        <f>ROUND(AK15*(1-0.1979),2)</f>
        <v/>
      </c>
      <c r="BL15">
        <f>ROUND(AL15*(1-0.1979),2)</f>
        <v/>
      </c>
      <c r="BM15">
        <f>ROUND(AM15*(1-0.1979),2)</f>
        <v/>
      </c>
      <c r="BN15" t="inlineStr">
        <is>
          <t>Não</t>
        </is>
      </c>
      <c r="BO15" t="inlineStr">
        <is>
          <t>Não</t>
        </is>
      </c>
      <c r="BP15" t="inlineStr">
        <is>
          <t>Não</t>
        </is>
      </c>
      <c r="BR15" t="inlineStr">
        <is>
          <t>Positiva</t>
        </is>
      </c>
      <c r="BS15" t="inlineStr">
        <is>
          <t>Sim</t>
        </is>
      </c>
      <c r="BT15" t="inlineStr">
        <is>
          <t xml:space="preserve">- (*) </t>
        </is>
      </c>
      <c r="BU15" t="inlineStr">
        <is>
          <t>Não</t>
        </is>
      </c>
      <c r="BW15" t="inlineStr">
        <is>
          <t>Não</t>
        </is>
      </c>
    </row>
    <row r="16">
      <c r="A16" t="inlineStr">
        <is>
          <t>ACARBOSE</t>
        </is>
      </c>
      <c r="B16" t="inlineStr">
        <is>
          <t>00.923.140/0001-31</t>
        </is>
      </c>
      <c r="C16" t="inlineStr">
        <is>
          <t>EMS SIGMA PHARMA LTDA</t>
        </is>
      </c>
      <c r="D16" t="inlineStr">
        <is>
          <t>531619040086903</t>
        </is>
      </c>
      <c r="E16" t="inlineStr">
        <is>
          <t>1356900350075</t>
        </is>
      </c>
      <c r="F16" t="inlineStr">
        <is>
          <t>7894916503761</t>
        </is>
      </c>
      <c r="G16" t="inlineStr">
        <is>
          <t>7896004771809</t>
        </is>
      </c>
      <c r="H16" t="inlineStr">
        <is>
          <t xml:space="preserve">    -     </t>
        </is>
      </c>
      <c r="I16" t="inlineStr">
        <is>
          <t>AGLUCOSE</t>
        </is>
      </c>
      <c r="J16" t="inlineStr">
        <is>
          <t>100 MG COM CT BL AL AL X 30</t>
        </is>
      </c>
      <c r="K16" t="inlineStr">
        <is>
          <t>A10L - ANTIDIABÉTICOS INIBIDORES ALFA-GLUCOSIDASE</t>
        </is>
      </c>
      <c r="L16" t="inlineStr">
        <is>
          <t>Similar</t>
        </is>
      </c>
      <c r="M16" t="inlineStr">
        <is>
          <t>Regulado</t>
        </is>
      </c>
      <c r="N16" t="inlineStr">
        <is>
          <t>40,39</t>
        </is>
      </c>
      <c r="O16" t="inlineStr">
        <is>
          <t>40,88</t>
        </is>
      </c>
      <c r="P16" t="inlineStr">
        <is>
          <t>46,45</t>
        </is>
      </c>
      <c r="Q16" t="inlineStr">
        <is>
          <t>45,90</t>
        </is>
      </c>
      <c r="R16" t="inlineStr">
        <is>
          <t>49,25</t>
        </is>
      </c>
      <c r="S16" t="inlineStr">
        <is>
          <t>48,66</t>
        </is>
      </c>
      <c r="T16" t="inlineStr">
        <is>
          <t>49,55</t>
        </is>
      </c>
      <c r="U16" t="inlineStr">
        <is>
          <t>48,96</t>
        </is>
      </c>
      <c r="V16" t="inlineStr">
        <is>
          <t>49,85</t>
        </is>
      </c>
      <c r="W16" t="inlineStr">
        <is>
          <t>49,26</t>
        </is>
      </c>
      <c r="X16" t="inlineStr">
        <is>
          <t>50,47</t>
        </is>
      </c>
      <c r="Y16" t="inlineStr">
        <is>
          <t>49,86</t>
        </is>
      </c>
      <c r="Z16" t="inlineStr">
        <is>
          <t>50,78</t>
        </is>
      </c>
      <c r="AA16" t="inlineStr">
        <is>
          <t>50,17</t>
        </is>
      </c>
      <c r="AB16" t="inlineStr">
        <is>
          <t>51,10</t>
        </is>
      </c>
      <c r="AC16" t="inlineStr">
        <is>
          <t>50,49</t>
        </is>
      </c>
      <c r="AD16" t="inlineStr">
        <is>
          <t>51,42</t>
        </is>
      </c>
      <c r="AE16" t="inlineStr">
        <is>
          <t>50,80</t>
        </is>
      </c>
      <c r="AF16" t="inlineStr">
        <is>
          <t>51,75</t>
        </is>
      </c>
      <c r="AG16" t="inlineStr">
        <is>
          <t>51,13</t>
        </is>
      </c>
      <c r="AH16" t="inlineStr">
        <is>
          <t>52,41</t>
        </is>
      </c>
      <c r="AI16" t="inlineStr">
        <is>
          <t>51,78</t>
        </is>
      </c>
      <c r="AJ16" t="inlineStr">
        <is>
          <t>52,75</t>
        </is>
      </c>
      <c r="AK16" t="inlineStr">
        <is>
          <t>52,12</t>
        </is>
      </c>
      <c r="AL16" t="inlineStr">
        <is>
          <t>53,09</t>
        </is>
      </c>
      <c r="AM16" t="inlineStr">
        <is>
          <t>52,45</t>
        </is>
      </c>
      <c r="AN16">
        <f>ROUND(N16*(1-0.1979),2)</f>
        <v/>
      </c>
      <c r="AO16">
        <f>ROUND(O16*(1-0.1979),2)</f>
        <v/>
      </c>
      <c r="AP16">
        <f>ROUND(P16*(1-0.1979),2)</f>
        <v/>
      </c>
      <c r="AQ16">
        <f>ROUND(Q16*(1-0.1979),2)</f>
        <v/>
      </c>
      <c r="AR16">
        <f>ROUND(R16*(1-0.1979),2)</f>
        <v/>
      </c>
      <c r="AS16">
        <f>ROUND(S16*(1-0.1979),2)</f>
        <v/>
      </c>
      <c r="AT16">
        <f>ROUND(T16*(1-0.1979),2)</f>
        <v/>
      </c>
      <c r="AU16">
        <f>ROUND(U16*(1-0.1979),2)</f>
        <v/>
      </c>
      <c r="AV16">
        <f>ROUND(V16*(1-0.1979),2)</f>
        <v/>
      </c>
      <c r="AW16">
        <f>ROUND(W16*(1-0.1979),2)</f>
        <v/>
      </c>
      <c r="AX16">
        <f>ROUND(X16*(1-0.1979),2)</f>
        <v/>
      </c>
      <c r="AY16">
        <f>ROUND(Y16*(1-0.1979),2)</f>
        <v/>
      </c>
      <c r="AZ16">
        <f>ROUND(Z16*(1-0.1979),2)</f>
        <v/>
      </c>
      <c r="BA16">
        <f>ROUND(AA16*(1-0.1979),2)</f>
        <v/>
      </c>
      <c r="BB16">
        <f>ROUND(AB16*(1-0.1979),2)</f>
        <v/>
      </c>
      <c r="BC16">
        <f>ROUND(AC16*(1-0.1979),2)</f>
        <v/>
      </c>
      <c r="BD16">
        <f>ROUND(AD16*(1-0.1979),2)</f>
        <v/>
      </c>
      <c r="BE16">
        <f>ROUND(AE16*(1-0.1979),2)</f>
        <v/>
      </c>
      <c r="BF16">
        <f>ROUND(AF16*(1-0.1979),2)</f>
        <v/>
      </c>
      <c r="BG16">
        <f>ROUND(AG16*(1-0.1979),2)</f>
        <v/>
      </c>
      <c r="BH16">
        <f>ROUND(AH16*(1-0.1979),2)</f>
        <v/>
      </c>
      <c r="BI16">
        <f>ROUND(AI16*(1-0.1979),2)</f>
        <v/>
      </c>
      <c r="BJ16">
        <f>ROUND(AJ16*(1-0.1979),2)</f>
        <v/>
      </c>
      <c r="BK16">
        <f>ROUND(AK16*(1-0.1979),2)</f>
        <v/>
      </c>
      <c r="BL16">
        <f>ROUND(AL16*(1-0.1979),2)</f>
        <v/>
      </c>
      <c r="BM16">
        <f>ROUND(AM16*(1-0.1979),2)</f>
        <v/>
      </c>
      <c r="BN16" t="inlineStr">
        <is>
          <t>Não</t>
        </is>
      </c>
      <c r="BO16" t="inlineStr">
        <is>
          <t>Não</t>
        </is>
      </c>
      <c r="BP16" t="inlineStr">
        <is>
          <t>Não</t>
        </is>
      </c>
      <c r="BR16" t="inlineStr">
        <is>
          <t>Positiva</t>
        </is>
      </c>
      <c r="BS16" t="inlineStr">
        <is>
          <t>Sim</t>
        </is>
      </c>
      <c r="BT16" t="inlineStr">
        <is>
          <t xml:space="preserve">- (*) </t>
        </is>
      </c>
      <c r="BU16" t="inlineStr">
        <is>
          <t>Não</t>
        </is>
      </c>
      <c r="BW16" t="inlineStr">
        <is>
          <t>Não</t>
        </is>
      </c>
    </row>
    <row r="17">
      <c r="A17" t="inlineStr">
        <is>
          <t>ACEBROFILINA</t>
        </is>
      </c>
      <c r="B17" t="inlineStr">
        <is>
          <t>61.190.096/0001-92</t>
        </is>
      </c>
      <c r="C17" t="inlineStr">
        <is>
          <t>EUROFARMA LABORATORIOS S.A.</t>
        </is>
      </c>
      <c r="D17" t="inlineStr">
        <is>
          <t>508017401132117</t>
        </is>
      </c>
      <c r="E17" t="inlineStr">
        <is>
          <t>1004307850011</t>
        </is>
      </c>
      <c r="F17" t="inlineStr">
        <is>
          <t>7891317002688</t>
        </is>
      </c>
      <c r="G17" t="inlineStr">
        <is>
          <t xml:space="preserve">    -     </t>
        </is>
      </c>
      <c r="H17" t="inlineStr">
        <is>
          <t xml:space="preserve">    -     </t>
        </is>
      </c>
      <c r="I17" t="inlineStr">
        <is>
          <t>ACEBROFILINA</t>
        </is>
      </c>
      <c r="J17" t="inlineStr">
        <is>
          <t>5 MG/ML XPE CT FR VD AMB X 120 ML + COP</t>
        </is>
      </c>
      <c r="K17" t="inlineStr">
        <is>
          <t>R5C - EXPECTORANTES</t>
        </is>
      </c>
      <c r="L17" t="inlineStr">
        <is>
          <t>Genérico</t>
        </is>
      </c>
      <c r="M17" t="inlineStr">
        <is>
          <t>Regulado</t>
        </is>
      </c>
      <c r="N17" t="inlineStr">
        <is>
          <t>19,00</t>
        </is>
      </c>
      <c r="O17" t="inlineStr">
        <is>
          <t>19,23</t>
        </is>
      </c>
      <c r="P17" t="inlineStr">
        <is>
          <t>21,85</t>
        </is>
      </c>
      <c r="Q17" t="inlineStr">
        <is>
          <t>21,59</t>
        </is>
      </c>
      <c r="R17" t="inlineStr">
        <is>
          <t>23,17</t>
        </is>
      </c>
      <c r="S17" t="inlineStr">
        <is>
          <t>22,89</t>
        </is>
      </c>
      <c r="T17" t="inlineStr">
        <is>
          <t>23,31</t>
        </is>
      </c>
      <c r="U17" t="inlineStr">
        <is>
          <t>23,03</t>
        </is>
      </c>
      <c r="V17" t="inlineStr">
        <is>
          <t>23,45</t>
        </is>
      </c>
      <c r="W17" t="inlineStr">
        <is>
          <t>23,17</t>
        </is>
      </c>
      <c r="X17" t="inlineStr">
        <is>
          <t>23,74</t>
        </is>
      </c>
      <c r="Y17" t="inlineStr">
        <is>
          <t>23,46</t>
        </is>
      </c>
      <c r="Z17" t="inlineStr">
        <is>
          <t>23,89</t>
        </is>
      </c>
      <c r="AA17" t="inlineStr">
        <is>
          <t>23,60</t>
        </is>
      </c>
      <c r="AB17" t="inlineStr">
        <is>
          <t>24,04</t>
        </is>
      </c>
      <c r="AC17" t="inlineStr">
        <is>
          <t>23,75</t>
        </is>
      </c>
      <c r="AD17" t="inlineStr">
        <is>
          <t>24,19</t>
        </is>
      </c>
      <c r="AE17" t="inlineStr">
        <is>
          <t>23,90</t>
        </is>
      </c>
      <c r="AF17" t="inlineStr">
        <is>
          <t>24,34</t>
        </is>
      </c>
      <c r="AG17" t="inlineStr">
        <is>
          <t>24,05</t>
        </is>
      </c>
      <c r="AH17" t="inlineStr">
        <is>
          <t>24,65</t>
        </is>
      </c>
      <c r="AI17" t="inlineStr">
        <is>
          <t>24,36</t>
        </is>
      </c>
      <c r="AJ17" t="inlineStr">
        <is>
          <t>24,81</t>
        </is>
      </c>
      <c r="AK17" t="inlineStr">
        <is>
          <t>24,52</t>
        </is>
      </c>
      <c r="AL17" t="inlineStr">
        <is>
          <t>24,97</t>
        </is>
      </c>
      <c r="AM17" t="inlineStr">
        <is>
          <t>24,67</t>
        </is>
      </c>
      <c r="AN17">
        <f>ROUND(N17*(1-0.1979),2)</f>
        <v/>
      </c>
      <c r="AO17">
        <f>ROUND(O17*(1-0.1979),2)</f>
        <v/>
      </c>
      <c r="AP17">
        <f>ROUND(P17*(1-0.1979),2)</f>
        <v/>
      </c>
      <c r="AQ17">
        <f>ROUND(Q17*(1-0.1979),2)</f>
        <v/>
      </c>
      <c r="AR17">
        <f>ROUND(R17*(1-0.1979),2)</f>
        <v/>
      </c>
      <c r="AS17">
        <f>ROUND(S17*(1-0.1979),2)</f>
        <v/>
      </c>
      <c r="AT17">
        <f>ROUND(T17*(1-0.1979),2)</f>
        <v/>
      </c>
      <c r="AU17">
        <f>ROUND(U17*(1-0.1979),2)</f>
        <v/>
      </c>
      <c r="AV17">
        <f>ROUND(V17*(1-0.1979),2)</f>
        <v/>
      </c>
      <c r="AW17">
        <f>ROUND(W17*(1-0.1979),2)</f>
        <v/>
      </c>
      <c r="AX17">
        <f>ROUND(X17*(1-0.1979),2)</f>
        <v/>
      </c>
      <c r="AY17">
        <f>ROUND(Y17*(1-0.1979),2)</f>
        <v/>
      </c>
      <c r="AZ17">
        <f>ROUND(Z17*(1-0.1979),2)</f>
        <v/>
      </c>
      <c r="BA17">
        <f>ROUND(AA17*(1-0.1979),2)</f>
        <v/>
      </c>
      <c r="BB17">
        <f>ROUND(AB17*(1-0.1979),2)</f>
        <v/>
      </c>
      <c r="BC17">
        <f>ROUND(AC17*(1-0.1979),2)</f>
        <v/>
      </c>
      <c r="BD17">
        <f>ROUND(AD17*(1-0.1979),2)</f>
        <v/>
      </c>
      <c r="BE17">
        <f>ROUND(AE17*(1-0.1979),2)</f>
        <v/>
      </c>
      <c r="BF17">
        <f>ROUND(AF17*(1-0.1979),2)</f>
        <v/>
      </c>
      <c r="BG17">
        <f>ROUND(AG17*(1-0.1979),2)</f>
        <v/>
      </c>
      <c r="BH17">
        <f>ROUND(AH17*(1-0.1979),2)</f>
        <v/>
      </c>
      <c r="BI17">
        <f>ROUND(AI17*(1-0.1979),2)</f>
        <v/>
      </c>
      <c r="BJ17">
        <f>ROUND(AJ17*(1-0.1979),2)</f>
        <v/>
      </c>
      <c r="BK17">
        <f>ROUND(AK17*(1-0.1979),2)</f>
        <v/>
      </c>
      <c r="BL17">
        <f>ROUND(AL17*(1-0.1979),2)</f>
        <v/>
      </c>
      <c r="BM17">
        <f>ROUND(AM17*(1-0.1979),2)</f>
        <v/>
      </c>
      <c r="BN17" t="inlineStr">
        <is>
          <t>Não</t>
        </is>
      </c>
      <c r="BO17" t="inlineStr">
        <is>
          <t>Não</t>
        </is>
      </c>
      <c r="BP17" t="inlineStr">
        <is>
          <t>Não</t>
        </is>
      </c>
      <c r="BR17" t="inlineStr">
        <is>
          <t>Positiva</t>
        </is>
      </c>
      <c r="BS17" t="inlineStr">
        <is>
          <t>Sim</t>
        </is>
      </c>
      <c r="BT17" t="inlineStr">
        <is>
          <t>Tarja Vermelha</t>
        </is>
      </c>
      <c r="BU17" t="inlineStr">
        <is>
          <t>Não</t>
        </is>
      </c>
      <c r="BW17" t="inlineStr">
        <is>
          <t>Sim</t>
        </is>
      </c>
      <c r="BX17" t="inlineStr">
        <is>
          <t>ACEBROFILINA 5 MG/ML</t>
        </is>
      </c>
      <c r="BY17" t="inlineStr">
        <is>
          <t>Substância: nome da substância idêntico (ignorando acentos, espaços e hidratação). Concentração: concentração idêntica.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2026-10-01T16:19:39Z</dcterms:created>
  <dcterms:modified xsi:type="dcterms:W3CDTF">2026-10-01T16:19:39Z</dcterms:modified>
</cp:coreProperties>
</file>